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Facilities_ESE2/GESTO DE CONTRATOS/Planilhas de medições/Medições 2026/08_2026/"/>
    </mc:Choice>
  </mc:AlternateContent>
  <xr:revisionPtr revIDLastSave="0" documentId="8_{454B19BD-9FAF-4523-8B32-33002C87BCF6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Medição" sheetId="1" r:id="rId1"/>
    <sheet name="Plan2" sheetId="3" r:id="rId2"/>
  </sheets>
  <definedNames>
    <definedName name="_xlnm._FilterDatabase" localSheetId="0" hidden="1">Medição!$B$10:$T$18</definedName>
    <definedName name="_xlnm._FilterDatabase" localSheetId="1" hidden="1">Plan2!$A$1:$H$76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O17" i="1" s="1"/>
  <c r="N15" i="1"/>
  <c r="O15" i="1" l="1"/>
  <c r="N13" i="1"/>
  <c r="O13" i="1" s="1"/>
  <c r="N16" i="1" l="1"/>
  <c r="O16" i="1" s="1"/>
  <c r="N12" i="1"/>
  <c r="O12" i="1" s="1"/>
  <c r="N11" i="1"/>
  <c r="O11" i="1" s="1"/>
  <c r="N14" i="1"/>
  <c r="O14" i="1" s="1"/>
  <c r="O18" i="1" l="1"/>
  <c r="N18" i="1"/>
</calcChain>
</file>

<file path=xl/sharedStrings.xml><?xml version="1.0" encoding="utf-8"?>
<sst xmlns="http://schemas.openxmlformats.org/spreadsheetml/2006/main" count="1169" uniqueCount="774">
  <si>
    <t>Nº Contrato:</t>
  </si>
  <si>
    <t>Razão social:</t>
  </si>
  <si>
    <t>CASSIO MURILO DO NASCIMENTO SANTOS ME</t>
  </si>
  <si>
    <t>Referência Medição:</t>
  </si>
  <si>
    <t>AGOSTO</t>
  </si>
  <si>
    <t>Cidade</t>
  </si>
  <si>
    <t>Localidade (Ex: ag., SE, Unid. de Serviço, Garagem, etc)</t>
  </si>
  <si>
    <t>RESPONSÁVEL PELA SOLICITAÇÃO DO SERVIÇO</t>
  </si>
  <si>
    <t>Descrição do Serviço</t>
  </si>
  <si>
    <t>Data Do Serviço</t>
  </si>
  <si>
    <t>Numeração em contrato</t>
  </si>
  <si>
    <t>Item Contrato</t>
  </si>
  <si>
    <t>TIPO DE NOTA - MATERIAL/ SERVIÇO</t>
  </si>
  <si>
    <t>Valor
Unitário</t>
  </si>
  <si>
    <t>Quantidade
Realizada</t>
  </si>
  <si>
    <t>Valor do KM (deslocamento)</t>
  </si>
  <si>
    <t>Quantidade KM (deslocamento)</t>
  </si>
  <si>
    <t>Valor / Serviço</t>
  </si>
  <si>
    <t>Valor Total</t>
  </si>
  <si>
    <t>Rateio</t>
  </si>
  <si>
    <t>CENTRO DE CUSTO</t>
  </si>
  <si>
    <t>OPEX</t>
  </si>
  <si>
    <t>CAPEX</t>
  </si>
  <si>
    <t>ARACAJU/SE</t>
  </si>
  <si>
    <t>CANALETA - EXTERNA A NOVO MURO SUBESTAÇÃO</t>
  </si>
  <si>
    <t>ADRIANO</t>
  </si>
  <si>
    <t>ESCAVAÇÃO DE TERRENO PARA CONCRETO E FILTRO COM BRITA</t>
  </si>
  <si>
    <t>01/08 A 31/08/2026</t>
  </si>
  <si>
    <t>ESCAVAÇÃO MANUAL de vala em solo de 1ª categoria (profundidade: até 2 m) </t>
  </si>
  <si>
    <t>MATERIAL/SERVIÇO</t>
  </si>
  <si>
    <t>925 653</t>
  </si>
  <si>
    <t>REMOÇÃO DE ENTULHO</t>
  </si>
  <si>
    <t>CARGA manual de entulho em caminhão basculante </t>
  </si>
  <si>
    <t>REATERRO MANUAL COM BRITA PARA CAMADA DE DRENAGEM</t>
  </si>
  <si>
    <t>REATERRO MANUAL de vala apiloado </t>
  </si>
  <si>
    <t>FORMAS EM MADEIRA PARA CONCRETAGEM DE ESTRUTURAS DA BASE DO MURO</t>
  </si>
  <si>
    <t>FABRICAÇÃO de fôrma de madeira para fundação, com tábuas e sarrafos </t>
  </si>
  <si>
    <t>ARMADUIRA DA CANALETA</t>
  </si>
  <si>
    <t>ARMADURA de aço para lajes, CA-50, corte e dobra na obra </t>
  </si>
  <si>
    <t>CONCRETO DE ESTRUTURA EM CANALETA</t>
  </si>
  <si>
    <t>CONCRETO estrutural virado em obra , controle "A", consistência para vibração, brita 1, fck 20 MPa </t>
  </si>
  <si>
    <t>RUA RIO DE JANEIRO</t>
  </si>
  <si>
    <t>REFORÇO ESTRUTURAL EM POSTE</t>
  </si>
  <si>
    <t>CONCRETO NÃO ESTRUTURAL , preparo manual </t>
  </si>
  <si>
    <t>Sim</t>
  </si>
  <si>
    <t>610540801/2192</t>
  </si>
  <si>
    <t>Reclamação</t>
  </si>
  <si>
    <t>CÓDIGO 
ENERGISA</t>
  </si>
  <si>
    <t>CÓDIGO
PINI </t>
  </si>
  <si>
    <t>ESPECIFICAÇÃO DO SERVIÇO </t>
  </si>
  <si>
    <t> UNID. </t>
  </si>
  <si>
    <t>QNT ESTIMADA</t>
  </si>
  <si>
    <t>MAT</t>
  </si>
  <si>
    <t>MO</t>
  </si>
  <si>
    <t>VALOR UNIT</t>
  </si>
  <si>
    <t>TOTAL</t>
  </si>
  <si>
    <t>01520.8.1.1  </t>
  </si>
  <si>
    <t>ABRIGO PROVISÓRIO de madeira executado na obra para alojamento e depósito de materiais e ferramentas </t>
  </si>
  <si>
    <t>M2  </t>
  </si>
  <si>
    <t>01544.8.1.2  </t>
  </si>
  <si>
    <t>BANDEJA salva-vidas primária, de madeira - com forro em tábua - largura 2,50 m </t>
  </si>
  <si>
    <t>M  </t>
  </si>
  <si>
    <t>01544.8.5.1  </t>
  </si>
  <si>
    <t>ANDAIME metálico de encaixe para trabalho em fachada de edifícios - locação </t>
  </si>
  <si>
    <t>01560.8.2.1  </t>
  </si>
  <si>
    <t>TAPUME com tela de polietileno </t>
  </si>
  <si>
    <t>01740.8.1.1  </t>
  </si>
  <si>
    <t>LIMPEZA geral da edificação </t>
  </si>
  <si>
    <t>02220.8.1.2  </t>
  </si>
  <si>
    <t>DEMOLIÇÃO de alvenaria de tijolo comum, sem reaproveitamento </t>
  </si>
  <si>
    <t>M3  </t>
  </si>
  <si>
    <t>02220.8.2.1  </t>
  </si>
  <si>
    <t>DEMOLIÇÃO de assoalho de madeira </t>
  </si>
  <si>
    <t>02220.8.3.1  </t>
  </si>
  <si>
    <t>DEMOLIÇÃO de cobertura de telha cerâmica </t>
  </si>
  <si>
    <t>02220.8.4.1  </t>
  </si>
  <si>
    <t>DEMOLIÇÃO de concreto armado com utilização de martelo rompedor </t>
  </si>
  <si>
    <t>02220.8.4.2  </t>
  </si>
  <si>
    <t>DEMOLIÇÃO de concreto simples </t>
  </si>
  <si>
    <t>02220.8.6.1  </t>
  </si>
  <si>
    <t>DEMOLIÇÃO de estrutura de madeira para telhado </t>
  </si>
  <si>
    <t>02220.8.7.2  </t>
  </si>
  <si>
    <t>DEMOLIÇÃO de forro de tábua de pinho </t>
  </si>
  <si>
    <t>02220.8.7.3  </t>
  </si>
  <si>
    <t>DEMOLIÇÃO de forro de gesso em placas </t>
  </si>
  <si>
    <t>02220.8.8.1  </t>
  </si>
  <si>
    <t>DEMOLIÇÃO de pavimentação asfáltica com utilização de martelo rompedor </t>
  </si>
  <si>
    <t>02220.8.8.2  </t>
  </si>
  <si>
    <t>DEMOLIÇÃO de pavimentação com paralelepípedo rejuntado com areia </t>
  </si>
  <si>
    <t>02220.8.8.4  </t>
  </si>
  <si>
    <t>DEMOLIÇÃO de pavimentação com pré-moldado de concreto </t>
  </si>
  <si>
    <t>02220.8.9.1  </t>
  </si>
  <si>
    <t>DEMOLIÇÃO de piso cimentado sobre lastro de concreto </t>
  </si>
  <si>
    <t>02220.8.10.1  </t>
  </si>
  <si>
    <t>DEMOLIÇÃO de piso e viga de madeira </t>
  </si>
  <si>
    <t>02220.8.11.1  </t>
  </si>
  <si>
    <t>DEMOLIÇÃO de piso cerâmico </t>
  </si>
  <si>
    <t>02220.8.11.2  </t>
  </si>
  <si>
    <t>DEMOLIÇÃO de piso cerâmico inclusive retirada da camada de regularização sobre lastro de concreto </t>
  </si>
  <si>
    <t>02220.8.13.1  </t>
  </si>
  <si>
    <t>DEMOLIÇÃO de piso revestido com taco comum de madeira </t>
  </si>
  <si>
    <t>02220.8.14.1  </t>
  </si>
  <si>
    <t>DEMOLIÇÃO de revestimento com argamassa </t>
  </si>
  <si>
    <t>02220.8.15.1  </t>
  </si>
  <si>
    <t>DEMOLIÇÃO de revestimento de azulejo </t>
  </si>
  <si>
    <t>02220.8.16.1  </t>
  </si>
  <si>
    <t>DEMOLIÇÃO de revestimento com lambris </t>
  </si>
  <si>
    <t>02220.8.19.1  </t>
  </si>
  <si>
    <t>RETIRADA de soleira de mármore ou granito </t>
  </si>
  <si>
    <t>02220.8.20.1  </t>
  </si>
  <si>
    <t>RETIRADA de peitoril de mármore ou granito </t>
  </si>
  <si>
    <t>02220.8.21.1  </t>
  </si>
  <si>
    <t>DEMOLIÇÃO de edificação </t>
  </si>
  <si>
    <t>02225.8.1.1  </t>
  </si>
  <si>
    <t>REMOÇÃO de divisória leve </t>
  </si>
  <si>
    <t>02225.8.2.1  </t>
  </si>
  <si>
    <t>REMOÇÃO de esquadria metálica com ou sem reaproveitamento </t>
  </si>
  <si>
    <t>02225.8.3.1  </t>
  </si>
  <si>
    <t>REMOÇÃO de guia pré-fabricada de concreto </t>
  </si>
  <si>
    <t>02225.8.5.3  </t>
  </si>
  <si>
    <t>REMOÇÃO de pintura a óleo ou esmalte </t>
  </si>
  <si>
    <t>02225.8.6.1  </t>
  </si>
  <si>
    <t>REMOÇÃO de revestimento de piso de carpete têxtil </t>
  </si>
  <si>
    <t>02225.8.6.2  </t>
  </si>
  <si>
    <t>REMOÇÃO de revestimento de piso vinílico </t>
  </si>
  <si>
    <t>02225.8.8.1  </t>
  </si>
  <si>
    <t>REMOÇÃO de esquadria de madeira , inclusive batente </t>
  </si>
  <si>
    <t>02230.8.1.1  </t>
  </si>
  <si>
    <t>CORTE de capoeira fina a foice </t>
  </si>
  <si>
    <t>02230.8.3.1  </t>
  </si>
  <si>
    <t>RASPAGEM e limpeza manual de terreno </t>
  </si>
  <si>
    <t>02240.8.2.1  </t>
  </si>
  <si>
    <t>DRENO com areia grossa - fornecimento e colocação </t>
  </si>
  <si>
    <t>02240.8.3.1  </t>
  </si>
  <si>
    <t>DRENO com brita 2 e 3 - fornecimento e colocação </t>
  </si>
  <si>
    <t>02300.8.5.1  </t>
  </si>
  <si>
    <t>SOLO-CIMENTO ensacado para contenção de talude </t>
  </si>
  <si>
    <t>02315.8.1.9  </t>
  </si>
  <si>
    <t>02315.8.4.1  </t>
  </si>
  <si>
    <t>ESCAVAÇÃO MECANIZADA de vala escorada em solo de 1ª categoria, profundidade até 2 m </t>
  </si>
  <si>
    <t>02315.8.6.1  </t>
  </si>
  <si>
    <t>REATERRO MECANIZADO de vala empregando compactador de placa vibratória, em camadas de 20 a 40 cm </t>
  </si>
  <si>
    <t>02315.8.7.1  </t>
  </si>
  <si>
    <t>02315.8.9.1  </t>
  </si>
  <si>
    <t>COMPACTAÇÃO de aterro </t>
  </si>
  <si>
    <t>02315.8.21.1  </t>
  </si>
  <si>
    <t>ESCARIFICAÇÃO, escavação e remoção de terra até 1 km </t>
  </si>
  <si>
    <t>02315.8.29.2  </t>
  </si>
  <si>
    <t>ATERRO mecanizado com reaproveitamento de solo </t>
  </si>
  <si>
    <t>02335.8.7.1  </t>
  </si>
  <si>
    <t>ABERTURA e preparo de caixa de até 40 cm para pavimentação </t>
  </si>
  <si>
    <t>02335.8.8.1  </t>
  </si>
  <si>
    <t>RASPAGEM mecanizada do terreno até 40 cm de profundidade, utilizando trator sobre esteiras </t>
  </si>
  <si>
    <t>02360.8.1.1  </t>
  </si>
  <si>
    <t>APLICAÇÃO de herbicida esterilizante de solo </t>
  </si>
  <si>
    <t>02470.8.1.3  </t>
  </si>
  <si>
    <t>ALVENARIA de embasamento com tijolo comum, empregando argamassa mista de cimento, cal hidratada e areia sem peneirar, traço 1:2:8 </t>
  </si>
  <si>
    <t>02510.8.1.1  </t>
  </si>
  <si>
    <t>LIGAÇÃO provisória de água para obra e instalação sanitária provisória , pequenas obras - instalação mínima </t>
  </si>
  <si>
    <t>UN  </t>
  </si>
  <si>
    <t>02515.8.1.1  </t>
  </si>
  <si>
    <t>LIGAÇÃO provisória de luz e força para obra - instalação mínima </t>
  </si>
  <si>
    <t>02595.8.1.1  </t>
  </si>
  <si>
    <t>LOCAÇÃO da obra, execução de gabarito </t>
  </si>
  <si>
    <t>02620.8.1.1  </t>
  </si>
  <si>
    <t>CAIXA DE INSPEÇÃO em alvenaria - lastro de concreto, e = 10 cm </t>
  </si>
  <si>
    <t>02620.8.1.9  </t>
  </si>
  <si>
    <t>CAIXA DE INSPEÇÃO em alvenaria - 1 tijolo comum maciço revestido internamente com argamassa de cimento e areia sem peneirar traço 1:3, lastro de concreto e = 10 cm, tampa e = 5 cm, dimensões 80 x 80 x 60 cm </t>
  </si>
  <si>
    <t>02620.8.3.1  </t>
  </si>
  <si>
    <t>REBAIXAMENTO ou levantamento de tampão de poço de visita existente </t>
  </si>
  <si>
    <t>02620.8.4.1  </t>
  </si>
  <si>
    <t>VALA para drenagem de terreno: escavação de valeta, largura 50 cm, profundidade 70 cm, preenchimento até 30 cm com brita 2 e 3, incluindo abertura, enchimento e retaerro </t>
  </si>
  <si>
    <t>02630.8.2.1  </t>
  </si>
  <si>
    <t>TAMPA DE CONCRETO para caixa de inspeção em alvenaria e = 5 cm </t>
  </si>
  <si>
    <t>02632.8.11.2  </t>
  </si>
  <si>
    <t>CANALETA em tubo de concreto meia cana para águas pluviais, Ø 400 mm </t>
  </si>
  <si>
    <t>02632.8.11.4  </t>
  </si>
  <si>
    <t>CANALETA em tubo de concreto meia cana para águas pluviais, Ø 600 mm </t>
  </si>
  <si>
    <t>02632.8.11.7  </t>
  </si>
  <si>
    <t>CANALETA para águas pluviais em concreto moldada in-loco, largura 30 cm </t>
  </si>
  <si>
    <t>02632.8.11.9  </t>
  </si>
  <si>
    <t>CANALETA para águas pluviais em concreto moldada in-loco, largura 90 cm </t>
  </si>
  <si>
    <t>02700.8.2.4  </t>
  </si>
  <si>
    <t>LASTRO DE CONCRETO magro com seixo, e=8 cm, incluindo preparo e lançamento </t>
  </si>
  <si>
    <t>02710.8.6.1  </t>
  </si>
  <si>
    <t>LASTRO DE CONCRETO (contra-piso) , incluindo preparo e lançamento </t>
  </si>
  <si>
    <t>02720.8.3.1  </t>
  </si>
  <si>
    <t>BASE DE BRITA graduada </t>
  </si>
  <si>
    <t>02720.8.5.1  </t>
  </si>
  <si>
    <t>LASTRO DE AREIA com areia grossa </t>
  </si>
  <si>
    <t>02752.8.1.1  </t>
  </si>
  <si>
    <t>PASSEIO EM CONCRETO , fck = 13,5 MPa, controle tipo "C", incluindo preparo de caixa, e=7 cm </t>
  </si>
  <si>
    <t>02752.8.2.1  </t>
  </si>
  <si>
    <t>PAVIMENTAÇÃO ARTICULADA de blocos de concreto hexagonal sobre coxim de areia </t>
  </si>
  <si>
    <t>02752.8.3.1  </t>
  </si>
  <si>
    <t>PAVIMENTAÇÃO INTERTRAVADA de blocos de concreto sobre coxim de areia </t>
  </si>
  <si>
    <t>02752.8.4.3  </t>
  </si>
  <si>
    <t>PAVIMENTAÇÃO de concreto armado para pátio industrial, fck = 25 MPa, e = 14 cm sobre lastro de brita graduada e = 10 cm, capacidade para cargas de até 6 t/m² e empilhadeiras com cargas de até 4 t </t>
  </si>
  <si>
    <t>02752.8.5.3  </t>
  </si>
  <si>
    <t>PISO DE CONCRETO armado com seixo, tela de aço CA-60, e=10 cm </t>
  </si>
  <si>
    <t>02752.8.6.4  </t>
  </si>
  <si>
    <t>PISO RÚSTICO EM CONCRETO , fck = 13,5 MPa, controle tipo "C", formando quadrados ripados de 1 x 1 m, e=8 cm, juntas de 10 cm que poderão ser preenchidas com grama </t>
  </si>
  <si>
    <t>02752.8.8.1  </t>
  </si>
  <si>
    <t>REJUNTAMENTO DE PAVIMENTAÇÃO articulada de blocos de concreto hexagonal com asfalto </t>
  </si>
  <si>
    <t>02753.8.1.2  </t>
  </si>
  <si>
    <t>PISO CIMENTADO com argamassa de cimento e areia sem peneirar, traço 1:3, com impermeabilizante, e = 1,5 cm </t>
  </si>
  <si>
    <t>02770.8.3.1  </t>
  </si>
  <si>
    <t>GUIA PRÉ-FABRICADA de concreto reta ou curva assentada com concreto, fck=15 Mpa, controle tipo "C" </t>
  </si>
  <si>
    <t>02770.8.4.1  </t>
  </si>
  <si>
    <t>GUIA PRÉ-FABRICADA de concreto, retirada e reassentamento com concreto, fck=15 Mpa, controle tipo "B" </t>
  </si>
  <si>
    <t>02770.8.10.1  </t>
  </si>
  <si>
    <t>MEIO-FIO E SARJETA (0,15x 0,30m), moldado in loco concreto fck=13,5MPa com seixo </t>
  </si>
  <si>
    <t>02780.8.1.1  </t>
  </si>
  <si>
    <t>PARALELEPÍPEDO, retirada e reassentamento sobre coxim de areia </t>
  </si>
  <si>
    <t>02780.8.2.1  </t>
  </si>
  <si>
    <t>PARALELEPÍPEDO assentado sobre coxim de areia </t>
  </si>
  <si>
    <t>02780.8.3.2  </t>
  </si>
  <si>
    <t>REJUNTAMENTO de paralelepípedo com areia </t>
  </si>
  <si>
    <t>02821.8.1.1  </t>
  </si>
  <si>
    <t>MURO com mourão e placa pré-fabricada de concreto armado , altura livre 2,00 m </t>
  </si>
  <si>
    <t>02821.8.2.1  </t>
  </si>
  <si>
    <t>MURO divisório com bloco de concreto 14x19x39 cm, e=14 cm, altura 1,80 m, assentado sobre sapata corrida com argamassa mista de cimento , cal hidratada e areia sem peneirar traço 1:0,5:8 </t>
  </si>
  <si>
    <t>02822.8.1.1  </t>
  </si>
  <si>
    <t>ALAMBRADO com tela de arame galvanizado ou PVC, fixada em mourão de concreto armado, altura livre 2,00 m </t>
  </si>
  <si>
    <t>02822.8.2.1  </t>
  </si>
  <si>
    <t>CERCA com mourão pré-fabricado de concreto armado , com 12 furos e arame, altura livre 1,70 m </t>
  </si>
  <si>
    <t>02825.8.2.1  </t>
  </si>
  <si>
    <t>TAPUME de chapa de madeira compensada, inclusive montagem - madeira compensada resinada e=6 mm </t>
  </si>
  <si>
    <t>02830.8.2.1  </t>
  </si>
  <si>
    <t>MURO DE ARRIMO com bloco de concreto articulado e chumbado, incluindo perfuração e injeção de concreto até 2,50 m </t>
  </si>
  <si>
    <t>03110.8.19.3  </t>
  </si>
  <si>
    <t>03110.8.19.7  </t>
  </si>
  <si>
    <t>FABRICAÇÃO de fôrma de madeira maciça para pilares, com tábuas e sarrafos </t>
  </si>
  <si>
    <t>03110.8.19.11  </t>
  </si>
  <si>
    <t>FABRICAÇÃO de fôrma de madeira maciça para vigas, com tábuas e sarrafos </t>
  </si>
  <si>
    <t>03110.8.19.24  </t>
  </si>
  <si>
    <t>FABRICAÇÃO de fôrma de madeira maciça para lajes, com tábuas e sarrafos </t>
  </si>
  <si>
    <t>03110.8.20.3  </t>
  </si>
  <si>
    <t>MONTAGEM de fôrma de madeira para fundação, com tábuas e sarrafos </t>
  </si>
  <si>
    <t>03110.8.20.4  </t>
  </si>
  <si>
    <t>MONTAGEM de fôrma de madeira maciça para pilares, com tábuas e sarrafos </t>
  </si>
  <si>
    <t>03110.8.20.5  </t>
  </si>
  <si>
    <t>MONTAGEM de fôrma de madeira maciça para vigas, com tábuas e sarrafos </t>
  </si>
  <si>
    <t>03110.8.20.6  </t>
  </si>
  <si>
    <t>MONTAGEM de fôrma de madeira maciça para lajes, com tábuas e sarrafos </t>
  </si>
  <si>
    <t>03110.8.21.3  </t>
  </si>
  <si>
    <t>DESMONTAGEM de fôrma de madeira para fundação, com tábuas e sarrafos </t>
  </si>
  <si>
    <t>03110.8.21.4  </t>
  </si>
  <si>
    <t>DESMONTAGEM de fôrma de madeira maciça para pilares, com tábuas e sarrafos </t>
  </si>
  <si>
    <t>03110.8.21.5  </t>
  </si>
  <si>
    <t>DESMONTAGEM de fôrma de madeira maciça para vigas, com tábuas e sarrafos </t>
  </si>
  <si>
    <t>03110.8.21.6  </t>
  </si>
  <si>
    <t>DESMONTAGEM de fôrma de madeira maciça para lajes, com tábuas e sarrafos </t>
  </si>
  <si>
    <t>03210.8.1.3  </t>
  </si>
  <si>
    <t>ARMADURA de aço para estruturas em geral, CA-50, diâmetro 8,0 mm, corte e dobra na obra </t>
  </si>
  <si>
    <t>KG  </t>
  </si>
  <si>
    <t>03210.8.1.4  </t>
  </si>
  <si>
    <t>ARMADURA de aço para estruturas em geral, CA-50, diâmetro até 10,0 mm, corte e dobra industrial, fora da obra </t>
  </si>
  <si>
    <t>03210.8.1.10  </t>
  </si>
  <si>
    <t>ARMADURA de aço para pilares, CA-50, corte e dobra na obra </t>
  </si>
  <si>
    <t>03210.8.1.11  </t>
  </si>
  <si>
    <t>ARMADURA de aço para vigas, CA-50, corte e dobra na obra </t>
  </si>
  <si>
    <t>03210.8.1.12  </t>
  </si>
  <si>
    <t>03310.8.1.6  </t>
  </si>
  <si>
    <t>03310.8.13.1  </t>
  </si>
  <si>
    <t>TRANSPORTE, lançamento, adensamento e acabamento do concreto em estrutura </t>
  </si>
  <si>
    <t>03310.8.13.2  </t>
  </si>
  <si>
    <t>TRANSPORTE, lançamento, adensamento e acabamento do concreto em fundação </t>
  </si>
  <si>
    <t>03320.8.1.1  </t>
  </si>
  <si>
    <t>03320.8.1.2  </t>
  </si>
  <si>
    <t>CONCRETO NÃO ESTRUTURAL , preparo com betoneira </t>
  </si>
  <si>
    <t>03415.8.1.2  </t>
  </si>
  <si>
    <t>LAJE PRÉ-FABRICADA comum para piso ou cobertura, intereixo 38 cm, e=12 cm (capeamento 4 cm e elemento de enchimento 8 cm) </t>
  </si>
  <si>
    <t>03415.8.3.2  </t>
  </si>
  <si>
    <t>PRÉ-LAJE pré-fabricada treliçada para piso ou cobertura, largura 25 cm, e=12 cm (capeamento 4 cm, elemento de enchimento 5 cm e pré-laje 3 cm) </t>
  </si>
  <si>
    <t>03850.8.3.3  </t>
  </si>
  <si>
    <t>CORTE em concreto para passagem de tubulação, sem utilização de equipamentos, 2 1/2" à 4" (faixa de diâmetro: de 65 a 100 mm) </t>
  </si>
  <si>
    <t>03910.8.2.1  </t>
  </si>
  <si>
    <t>DEMOLIÇÃO de concreto com martelo rompedor até 5,0 cm de profundidade </t>
  </si>
  <si>
    <t>04033.8.4.1  </t>
  </si>
  <si>
    <t>ALVENARIA de marcação (1ª fiada) de tijolo de solo-cimento 7,5 x 15 x 30 cm </t>
  </si>
  <si>
    <t>04050.8.1.3  </t>
  </si>
  <si>
    <t>EXECUÇÃO DE RASGO em alvenaria para passagem de tubulação diâmetro 65 mm (2 ½") a 100 mm (4") </t>
  </si>
  <si>
    <t>04050.8.2.3  </t>
  </si>
  <si>
    <t>ENCHIMENTO DE RASGO em alvenaria com argamassa mista de cal hidratada e areia sem peneirar traço 1:4 com adição de 150 kg de cimento, para tubulação Ø 65 mm (2 1/2") a 100 mm (4") </t>
  </si>
  <si>
    <t>04060.8.1.12  </t>
  </si>
  <si>
    <t>ARGAMASSA de cal hidratada e areia peneirada traço 1:3 </t>
  </si>
  <si>
    <t>04060.8.1.15  </t>
  </si>
  <si>
    <t>ARGAMASSA de cal hidratada e areia sem peneirar traço 1:3 </t>
  </si>
  <si>
    <t>04060.8.1.22  </t>
  </si>
  <si>
    <t>ARGAMASSA de cimento e areia peneirada traço 1:3 </t>
  </si>
  <si>
    <t>04060.8.1.27  </t>
  </si>
  <si>
    <t>ARGAMASSA de cimento e areia sem peneirar traço 1:3, com aditivo impermeabilizante </t>
  </si>
  <si>
    <t>04060.8.1.34  </t>
  </si>
  <si>
    <t>ARGAMASSA de cimento e areia sem peneirar traço 1:3 </t>
  </si>
  <si>
    <t>04060.8.1.74  </t>
  </si>
  <si>
    <t>ARGAMASSA mista de cimento, cal hidratada e areia peneirada traço 1:1:6 </t>
  </si>
  <si>
    <t>04085.8.4.1  </t>
  </si>
  <si>
    <t>VERGA /CINTA em bloco de concreto canaleta 11,5 x 19 x 39 cm </t>
  </si>
  <si>
    <t>04090.8.2.1  </t>
  </si>
  <si>
    <t>ENTELAMENTO preventivo de superfície sujeita a trinca, largura da tela adesiva 25 cm </t>
  </si>
  <si>
    <t>04211.8.1.6  </t>
  </si>
  <si>
    <t>ALVENARIA de vedação com tijolos maciços cerâmico 5,7 x 9 x 19 cm, espessura da parede 9 cm, juntas de 12 mm com argamassa mista de cimento, cal hidratada e areia sem peneirar traço 1:2:8 - tipo 5 - </t>
  </si>
  <si>
    <t>04211.8.1.7  </t>
  </si>
  <si>
    <t>ALVENARIA de vedação com tijolos maciços cerâmico 5,7 x 9 x 19 cm, espessura da parede 19 cm, juntas de 12 mm com argamassa mista de cimento, cal hidratada e areia sem peneirar traço 1:2:8 - tipo 5 - </t>
  </si>
  <si>
    <t>04211.8.1.22  </t>
  </si>
  <si>
    <t>ALVENARIA de vedação com tijolos maciços cerâmico espessura da parede 9 cm, juntas de 12 mm com argamassa industrializada </t>
  </si>
  <si>
    <t>04211.8.1.23  </t>
  </si>
  <si>
    <t>ALVENARIA de vedação com tijolos maciços cerâmico 5,7 x 9 x 19 cm, espessura da parede 19 cm, juntas de 12 mm com argamassa industrializada </t>
  </si>
  <si>
    <t>04211.8.2.3  </t>
  </si>
  <si>
    <t>ALVENARIA de vedação com blocos cerâmico furados 9 x 19 x 19 cm (furos horizontais), espessura da parede 9 cm, juntas de 12 mm com argamassa mista de cimento, cal hidratada e areia sem peneirar traço 1:2:8 - tipo 1 - </t>
  </si>
  <si>
    <t>04211.8.2.4  </t>
  </si>
  <si>
    <t>ALVENARIA de vedação com blocos cerâmico furados 9 x 19 x 19 cm (furos horizontais), espessura da parede 19 cm, juntas de 12 mm com argamassa mista de cimento, cal hidratada e areia sem peneirar traço 1:2:8 - tipo 1 - </t>
  </si>
  <si>
    <t>04211.8.2.16  </t>
  </si>
  <si>
    <t>ALVENARIA de vedação com bloco cerâmico furado, 9 x 19 x 39 cm (furos verticais), espessura da parede 9 cm, juntas de 12 mm, assentado com argamassa mista de cimento, cal hidratada e areia sem peneirar traço 1:2:8 - tipo 2 - </t>
  </si>
  <si>
    <t>04211.8.2.18  </t>
  </si>
  <si>
    <t>ALVENARIA de vedação com bloco cerâmico furado 19 x 19 x 39 cm (furos verticais), espessura da parede 19 cm, juntas de 12 mm, assentado com argamassa mista de cimento, cal hidratada e areia sem peneirar traço 1:2:8 - tipo 2 - </t>
  </si>
  <si>
    <t>04211.8.2.19  </t>
  </si>
  <si>
    <t>ALVENARIA de vedação com blocos cerâmico 9 x 19 x 19 cm, espessura da parede 9 cm, juntas de 12 mm com argamassa industrializada </t>
  </si>
  <si>
    <t>04211.8.2.20  </t>
  </si>
  <si>
    <t>ALVENARIA de vedação com blocos cerâmico 9 x 19 x 19 cm, espessura da parede 19 cm, juntas de 12 mm com argamassa industrializada </t>
  </si>
  <si>
    <t>04211.8.2.21  </t>
  </si>
  <si>
    <t>ALVENARIA de vedação com blocos cerâmico furado, 9 x 19 x 39 cm, espessura da parede 9 cm, juntas de 12 mm com argamassa industrializada </t>
  </si>
  <si>
    <t>04211.8.2.23  </t>
  </si>
  <si>
    <t>ALVENARIA de vedação com blocos cerâmico furado, 19 x 19 x 39 cm, espessura da parede 19 cm, juntas de 12 mm com argamassa industrializada </t>
  </si>
  <si>
    <t>04211.8.2.24  </t>
  </si>
  <si>
    <t>ALVENARIA de vedação com blocos cerâmico canaleta, 9 x 19 x 39 cm, espessura da parede 9 cm, juntas de 12 mm com argamassa mista de cimento, cal hidratada e areia sem peneirar traço 1:2:8 - tipo 2 - </t>
  </si>
  <si>
    <t>04212.8.1.2  </t>
  </si>
  <si>
    <t>ALVENARIA estrutural com blocos cerâmico, 19 x 19 x 39 cm, espessura da parede 19 cm, juntas de 10 mm com argamassa mista de cimento, cal hidratada e areia sem peneirar traço 1:0,2:5,4 - tipo 3 - </t>
  </si>
  <si>
    <t>04212.8.1.6  </t>
  </si>
  <si>
    <t>ALVENARIA estrutural com blocos cerâmico, 19 x 19 x 39 cm, espessura da parede 19 cm, juntas de 10 com argamassa industrializada </t>
  </si>
  <si>
    <t>04221.8.1.2  </t>
  </si>
  <si>
    <t>ALVENARIA de vedação com blocos de concreto, 9 x 19 x 39 cm, espessura da parede 9 cm, juntas de 10 mm com argamassa mista de cimento, cal hidratada e areia sem peneirar traço 1:0,5:8 - tipo 2 - </t>
  </si>
  <si>
    <t>04221.8.1.12  </t>
  </si>
  <si>
    <t>ALVENARIA de vedação com blocos de concreto, 19 x 19 x 39 cm, espessura da parede 19 cm, juntas de 10 mm com argamassa mista de cimento, cal hidratada e areia sem peneirar traço 1:0,5:8 - tipo 2 - </t>
  </si>
  <si>
    <t>04221.8.1.37  </t>
  </si>
  <si>
    <t>ALVENARIA de vedação com blocos de concreto, 19 x 19 x 39 cm, espessura da parede 19 cm, juntas de 10 mm com argamassa industrializada </t>
  </si>
  <si>
    <t>04221.8.1.38  </t>
  </si>
  <si>
    <t>ALVENARIA de vedação com blocos de concreto, 9 x 19 x 39 cm, espessura da parede 9 cm, juntas de 10 mm com argamassa industrializada </t>
  </si>
  <si>
    <t>04221.8.2.1  </t>
  </si>
  <si>
    <t>ALVENARIA de vedação com blocos de concreto aparente, 9 x 19 x 39 cm, espessura da parede 9 cm, juntas de 10 mm com argamassa mista de cimento, cal hidratada e areia sem peneirar traço 1:0,5:8 - tipo 2 - </t>
  </si>
  <si>
    <t>04221.8.2.3  </t>
  </si>
  <si>
    <t>ALVENARIA de vedação com blocos de concreto aparente, 19 x 19 x 39 cm, espessura da parede 19 cm, juntas de 10 mm com argamassa mista de cimento, cal hidratada e areia sem peneirar traço 1:0,5:8 - tipo 2 - </t>
  </si>
  <si>
    <t>04221.8.2.4  </t>
  </si>
  <si>
    <t>ALVENARIA de vedação com blocos de concreto aparente, 9 x 19 x 39 cm, espessura da parede 9 cm, juntas de 10 mm com argamassa industrializada </t>
  </si>
  <si>
    <t>04221.8.2.6  </t>
  </si>
  <si>
    <t>ALVENARIA de vedação com blocos de concreto aparente, 19 x 19 x 39 cm, espessura da parede 19 cm, juntas de 10 mm com argamassa industrializada </t>
  </si>
  <si>
    <t>04222.8.1.2  </t>
  </si>
  <si>
    <t>ALVENARIA estrutural com blocos de concreto, 19 x 19 x 39 cm, espessura da parede 19 cm, juntas de 10 mm com argamassa mista de cimento, cal hidratada e areia sem peneirar traço 1:0,25:3 - tipo 3 - </t>
  </si>
  <si>
    <t>04222.8.1.6  </t>
  </si>
  <si>
    <t>ALVENARIA estrutural com blocos de concreto, 19 x 19 x 39 cm, espessura da parede 19 cm, juntas de 10 mm com argamassa industrializada </t>
  </si>
  <si>
    <t>05125.8.1.1  </t>
  </si>
  <si>
    <t>ESTRUTURA de aço para cobertura </t>
  </si>
  <si>
    <t>05520.8.3.1  </t>
  </si>
  <si>
    <t>CORRIMÃO tubular de ferro galvanizado </t>
  </si>
  <si>
    <t>06110.8.1.1  </t>
  </si>
  <si>
    <t>ESTRUTURA de madeira para telha cerâmica ou de concreto , vão de 3 a 7 m </t>
  </si>
  <si>
    <t>06110.8.1.4  </t>
  </si>
  <si>
    <t>ESTRUTURA de madeira para telha cerâmica ou de concreto , ancorada em laje ou parede </t>
  </si>
  <si>
    <t>06110.8.3.4  </t>
  </si>
  <si>
    <t>ESTRUTURA de madeira para telha ondulada de fibrocimento, alumínio ou plástica , ancorada em laje ou parede </t>
  </si>
  <si>
    <t>07110.8.2.1  </t>
  </si>
  <si>
    <t>IMPERMEABILIZAÇÃO de cobertura não sujeita a fissurações e a trânsito à base de emulsão asfáltica estruturada com véu de poliéster e acabamento com pintura refletiva </t>
  </si>
  <si>
    <t>07110.8.4.1  </t>
  </si>
  <si>
    <t>IMPERMEABILIZAÇÃO de piso com três demãos de emulsão asfáltica </t>
  </si>
  <si>
    <t>07320.8.3.4  </t>
  </si>
  <si>
    <t>COBERTURA com telha cerâmica tipo colonial, com argamassa de cimento, cal hidratada e areia sem peneirar, no traço 1:2:9, inclinação 35% </t>
  </si>
  <si>
    <t>07320.8.5.3  </t>
  </si>
  <si>
    <t>COBERTURA com telha de fibrocimento uma água, perfil ondulado, e = 6 mm, altura 125 mm, largura útil 1.020 mm e largura nominal 1.064 mm, inclinação 27% </t>
  </si>
  <si>
    <t>07320.8.12.4  </t>
  </si>
  <si>
    <t>CUMEEIRA normal ou articulada de fibrocimento para telha perfil ondulado e=6 ou 8 mm </t>
  </si>
  <si>
    <t>07320.8.13.2  </t>
  </si>
  <si>
    <t>CUMEEIRA tipo shed ou rufo de fibrocimento para telha perfil ondulado e=6 ou 8 mm </t>
  </si>
  <si>
    <t>07320.8.15.1  </t>
  </si>
  <si>
    <t>EMBOÇAMENTO de cumeeira para telha cerâmica com argamassa de cimento, cal hidratada e areia sem peneirar, no traço 1:2:9 </t>
  </si>
  <si>
    <t>07320.8.17.1  </t>
  </si>
  <si>
    <t>FECHAMENTO lateral com telha de fibrocimento , perfil ondulado, espessura 6 mm, altura 510 mm, largura útil 1050 mm e largura nominal 1100 mm </t>
  </si>
  <si>
    <t>07410.8.2.2  </t>
  </si>
  <si>
    <t>COBERTURA com telha de alumínio envernizada ou pintada, perfil trapezoidal e=0,5 mm </t>
  </si>
  <si>
    <t>07410.8.3.1  </t>
  </si>
  <si>
    <t>COBERTURA com telha termoacústica , perfil trapezoidal, e=30 mm, altura 70 mm, largura útil 1000 mm e largura nominal 1056 mm </t>
  </si>
  <si>
    <t>07410.8.4.1  </t>
  </si>
  <si>
    <t>CUMEEIRA de alumínio termoacústica, perfil trapezoidal </t>
  </si>
  <si>
    <t>07620.8.2.6  </t>
  </si>
  <si>
    <t>RUFO de chapa de aço galvanizado nº 26 desenvolvimento 33 cm </t>
  </si>
  <si>
    <t>07712.8.1.10  </t>
  </si>
  <si>
    <t>CALHA de chapa galvanizada nº 26 desenvolvimento 50 cm </t>
  </si>
  <si>
    <t>08110.8.2.1  </t>
  </si>
  <si>
    <t>GRADIL DE FERRO, colocação e acabamento , considerando peças de 1 m de altura </t>
  </si>
  <si>
    <t>08110.8.2.2  </t>
  </si>
  <si>
    <t>GRADIL DE FERRO, colocação e acabamento malha=65x132mm, barras verticais, largura=25mm, espessura=3mm </t>
  </si>
  <si>
    <t>08110.8.4.1  </t>
  </si>
  <si>
    <t>PORTA de ferro sob encomenda tipo caixilho, de abrir, colocação e acabamento com uma folha </t>
  </si>
  <si>
    <t>08210.8.1.1  </t>
  </si>
  <si>
    <t>PORTA externa de madeira, colocação e acabamento , de uma folha com batente, guarnição e ferragem, 0,80 x 2,10 m </t>
  </si>
  <si>
    <t>08210.8.3.1  </t>
  </si>
  <si>
    <t>PORTA interna de madeira, colocação e acabamento , de uma folha com batente, guarnição e ferragem, 0,60 x 2,10 m </t>
  </si>
  <si>
    <t>08210.8.3.3  </t>
  </si>
  <si>
    <t>PORTA interna de madeira, colocação e acabamento , de uma folha com batente, guarnição e ferragem, 0,80 x 2,10 m </t>
  </si>
  <si>
    <t>08210.8.7.15  </t>
  </si>
  <si>
    <t>PORTA de madeira sob encomenda, sem batente, guarnição e ferragens </t>
  </si>
  <si>
    <t>08210.8.8.1  </t>
  </si>
  <si>
    <t>BATENTE E GUARNIÇÃO para porta de madeira </t>
  </si>
  <si>
    <t>08510.8.1.3  </t>
  </si>
  <si>
    <t>JANELA de ferro sob encomenda, colocação e acabamento de correr </t>
  </si>
  <si>
    <t>08510.8.1.4  </t>
  </si>
  <si>
    <t>JANELA de ferro sob encomenda, colocação e acabamento maxim-ar </t>
  </si>
  <si>
    <t>08510.8.2.1  </t>
  </si>
  <si>
    <t>GRADE DE PROTEÇÃO de ferro, colocação e acabamento </t>
  </si>
  <si>
    <t>08520.8.1.2  </t>
  </si>
  <si>
    <t>JANELA de alumínio sob encomenda, colocação e acabamento , de correr, com contramarcos </t>
  </si>
  <si>
    <t>08520.8.1.4  </t>
  </si>
  <si>
    <t>JANELA de alumínio sob encomenda, colocação e acabamento , maxim-ar, com contramarcos </t>
  </si>
  <si>
    <t>08530.8.1.1  </t>
  </si>
  <si>
    <t>JANELA de aço pintado (esmalte), padronizada, colocação e acabamento , de correr, com quatro folhas, sem bandeira, dimensões 1,20 x 1,50 m, com vidro liso </t>
  </si>
  <si>
    <t>08530.8.1.6  </t>
  </si>
  <si>
    <t>JANELA de aço pintado (esmalte), padronizada, colocação e acabamento , de correr, com quatro folhas, sem bandeira, dimensões 1,20 x 2,00 m, com vidro liso </t>
  </si>
  <si>
    <t>08550.8.1.5  </t>
  </si>
  <si>
    <t>JANELA de madeira colocação e acabamento , de abrir, com batente e caixilhos para vidro </t>
  </si>
  <si>
    <t>08550.8.2.1  </t>
  </si>
  <si>
    <t>CHUMBAGEM E ACABAMENTO de esquadria de madeira , após colocação, em vãos com até 5 m² </t>
  </si>
  <si>
    <t>08550.8.3.1  </t>
  </si>
  <si>
    <t>JANELA de madeira , tipo de correr com seis folhas sendo 2 fixas, 2 venezianas, 2 de vidro, batente, guarnição e ferragem, dimensões 1,20 x 1,20 m </t>
  </si>
  <si>
    <t>08550.8.3.5  </t>
  </si>
  <si>
    <t>JANELA de madeira , tipo de correr com duas folhas fixas, duas venezianas, duas de vidro, batente, guarnição e ferragem, dimensões 2,00 x 1,20 m </t>
  </si>
  <si>
    <t>08550.8.3.6  </t>
  </si>
  <si>
    <t>JANELA de madeira , tipo de abrir com duas folhas com veneziana, batente, guarnição e ferragem, dimensões 1,00 x 1,20 m </t>
  </si>
  <si>
    <t>08550.8.3.8  </t>
  </si>
  <si>
    <t>JANELA de madeira tipo de abrir com duas folhas com veneziana, batente, guarnição e ferragem, dimensões 1,40 x 1,20 m </t>
  </si>
  <si>
    <t>08820.8.2.13  </t>
  </si>
  <si>
    <t>PORTA de vidro temperado </t>
  </si>
  <si>
    <t>08820.8.3.3  </t>
  </si>
  <si>
    <t>JANELA em vidro temperado 10 mm, de correr com estrutura de alumínio </t>
  </si>
  <si>
    <t>08830.8.1.2  </t>
  </si>
  <si>
    <t>ESPELHO cristal para sanitário, e=5 mm </t>
  </si>
  <si>
    <t>09115.8.5.1  </t>
  </si>
  <si>
    <t>PINTURA COM TINTA ACRÍLICA em piso de concreto, duas demãos, aplicada com rolo de lã </t>
  </si>
  <si>
    <t>09115.8.5.2  </t>
  </si>
  <si>
    <t>PINTURA COM TINTA ACRÍLICA em piso, para faixas de demarcação, com faixas de 5 cm de largura, aplicada com trincha </t>
  </si>
  <si>
    <t>09115.8.9.8  </t>
  </si>
  <si>
    <t>PINTURA COM TINTA ESMALTE em esquadria de madeira, com duas demãos, sem massa corrida </t>
  </si>
  <si>
    <t>09115.8.9.12  </t>
  </si>
  <si>
    <t>PINTURA COM TINTA ESMALTE em esquadria de ferro, com duas demãos </t>
  </si>
  <si>
    <t>09115.8.11.1  </t>
  </si>
  <si>
    <t>PINTURA COM TINTA LÁTEX ACRÍLICA em parede externa, com duas demãos, sem massa corrida </t>
  </si>
  <si>
    <t>09115.8.12.1  </t>
  </si>
  <si>
    <t>PINTURA COM TINTA LÁTEX PVA em parede interna, com duas demãos, sem massa corrida </t>
  </si>
  <si>
    <t>09115.8.13.1  </t>
  </si>
  <si>
    <t>PINTURA COM TINTA ÓLEO em esquadria de madeira, com duas demãos, sem massa corrida </t>
  </si>
  <si>
    <t>09115.8.13.2  </t>
  </si>
  <si>
    <t>PINTURA COM TINTA ÓLEO em parede interna, com duas demãos, sem massa corrida </t>
  </si>
  <si>
    <t>09115.8.14.1  </t>
  </si>
  <si>
    <t>PINTURA COM VERNIZ em esquadria de madeira, com três demãos </t>
  </si>
  <si>
    <t>09115.8.17.5  </t>
  </si>
  <si>
    <t>PINTURA HIDROFUGANTE sobre superfície de tijolo à vista com uma demão de silicone </t>
  </si>
  <si>
    <t>09210.8.1.1  </t>
  </si>
  <si>
    <t>GESSO aplicado em parede ou teto interno - desempenado </t>
  </si>
  <si>
    <t>09210.8.1.3  </t>
  </si>
  <si>
    <t>GESSO aplicado em parede ou teto interno através de projeção mecânica - sarrafeado </t>
  </si>
  <si>
    <t>09285.8.1.3  </t>
  </si>
  <si>
    <t>PEITORIL de granito natural , assentado com argamassa mista de cimento, cal hidratada e areia sem peneirar traço 1:1:4 (largura: 15 cm) </t>
  </si>
  <si>
    <t>09285.8.1.4  </t>
  </si>
  <si>
    <t>PEITORIL de granito natural, assentado com argamassa mista de cimento, cal hidratada e areia sem peneirar traço 1:1:4 (largura: 25 cm) </t>
  </si>
  <si>
    <t>09285.8.2.2  </t>
  </si>
  <si>
    <t>GRANITO em placa padronizada, assentada com argamassa pré-fabricada de cimento colante, inclusive rejuntamento de juntas de 2 mm (comprimento da placa: 30 cm / largura da placa: 15 cm) </t>
  </si>
  <si>
    <t>09500.8.3.2  </t>
  </si>
  <si>
    <t>FORRO ACÚSTICO DE FIBRA MINERAL removível, modulação 625 x 625 mm, apoiados em perfis metálicos tipo "T" suspensos por perfis rígidos, e=15 mm </t>
  </si>
  <si>
    <t>09500.8.6.2  </t>
  </si>
  <si>
    <t>FORRO de PVC em painéis lineares encaixados entre si e fixados em estrutura de madeira, dimensões 200 x 6000 mm </t>
  </si>
  <si>
    <t>09500.8.8.1  </t>
  </si>
  <si>
    <t>FORRO DE GESSO fixo monolítico com placa pré-moldada, encaixe macho-fêmea (espessura: 30 mm) </t>
  </si>
  <si>
    <t>09500.8.11.1  </t>
  </si>
  <si>
    <t>SANCA de gesso, reta </t>
  </si>
  <si>
    <t>09605.8.1.5  </t>
  </si>
  <si>
    <t>REGULARIZAÇÃO SARRAFEADA de base para revestimento de piso com argamassa de cimento e areia sem peneirar traço 1:4, e=3 cm </t>
  </si>
  <si>
    <t>09605.8.3.1  </t>
  </si>
  <si>
    <t>REGULARIZAÇÃO de rodapé, com argamassa de cimento e areia sem peneirar traço 1:5, e=3 cm, altura 7 cm </t>
  </si>
  <si>
    <t>09605.8.4.1  </t>
  </si>
  <si>
    <t>REGULARIZAÇÃO DESEMPENADA de base para revestimento de piso com argamassa de cimento e areia sem peneirar traço 1:3, e=3 cm </t>
  </si>
  <si>
    <t>09606.8.2.1  </t>
  </si>
  <si>
    <t>PISO CERÂMICO esmaltado 30 x 30 cm, assentado com argamassa mista de cimento, cal hidratada e areia sem peneirar traço 1:0,5:5, e=2,5 cm </t>
  </si>
  <si>
    <t>09606.8.2.2  </t>
  </si>
  <si>
    <t>PISO CERÂMICO esmaltado 30 x 30 cm, assentado com argamassa pré-fabricada de cimento colante </t>
  </si>
  <si>
    <t>09606.8.3.1  </t>
  </si>
  <si>
    <t>REJUNTAMENTO DE PISO cerâmico com argamassa pré-fabricada, espessura da junta: 6 mm </t>
  </si>
  <si>
    <t>09606.8.3.2  </t>
  </si>
  <si>
    <t>REJUNTAMENTO DE PISO cerâmico com cimento branco, para juntas de até 3 mm </t>
  </si>
  <si>
    <t>09606.8.4.1  </t>
  </si>
  <si>
    <t>RODAPÉ cerâmico assentado com argamassa mista de cimento, cal hidratada e areia sem peneirar, traço 1:2:8, altura 8 cm </t>
  </si>
  <si>
    <t>09606.8.4.2  </t>
  </si>
  <si>
    <t>RODAPÉ cerâmico assentado com argamassa pré-fabricada de cimento colante, altura 8 cm </t>
  </si>
  <si>
    <t>09606.8.5.1  </t>
  </si>
  <si>
    <t>PORCELANATO polido 40 x 40 cm, assentado com argamassa pré-fabricada de cimento colante </t>
  </si>
  <si>
    <t>09609.8.1.1  </t>
  </si>
  <si>
    <t>LADRILHO hidráulico, assentado com argamassa mista de cal hidratada e areia sem peneirar traço 1:4, com adição de 100 kg de cimento </t>
  </si>
  <si>
    <t>09609.8.1.2  </t>
  </si>
  <si>
    <t>LADRILHO hidráulico, assentado com argamassa pré-fabricada de cimento colante </t>
  </si>
  <si>
    <t>09621.8.7.1  </t>
  </si>
  <si>
    <t>JUNTA PLÁSTICA para piso industrial monolítico , 27 x 3 mm </t>
  </si>
  <si>
    <t>09627.8.1.1  </t>
  </si>
  <si>
    <t>DEGRAU de granilite moldado "in loco" , piso 30 cm, espelho 20 cm </t>
  </si>
  <si>
    <t>09635.8.5.1  </t>
  </si>
  <si>
    <t>GRANITO natural, assentado com argamassa mista de cimento, cal hidratada e areia sem peneirar traço 1:1:4, e=2,5 cm </t>
  </si>
  <si>
    <t>09635.8.11.1  </t>
  </si>
  <si>
    <t>RODAPÉ de granito natural de 10 cm de altura, assentado com argamassa mista de cimento, cal hidratada e areia sem peneirar traço 1:1:4 </t>
  </si>
  <si>
    <t>09635.8.13.1  </t>
  </si>
  <si>
    <t>SOLEIRA de granito natural de 15 cm de largura, assentado com argamassa mista de cimento, cal hidratada e areia sem peneirar traço 1:1:4 </t>
  </si>
  <si>
    <t>09635.8.13.2  </t>
  </si>
  <si>
    <t>SOLEIRA de granito natural de 25 cm de largura, assentado com argamassa mista de cimento, cal hidratada e areia sem peneirar traço 1:1:4 </t>
  </si>
  <si>
    <t>09635.8.15.1  </t>
  </si>
  <si>
    <t>ARDÓSIA em placas 30 x 30 cm, e=8 mm, assentado com argamassa pré-fabricada de cimento colante, inclusive rejunte com juntas de 5 mm </t>
  </si>
  <si>
    <t>09635.8.18.1  </t>
  </si>
  <si>
    <t>RODAPÉ de ardósia de 10 cm de altura, assentado com argamassa pré-fabricada de cimento colante </t>
  </si>
  <si>
    <t>09640.8.3.1  </t>
  </si>
  <si>
    <t>PARQUETE de madeira fixado com cola especial à base de PVA sobre base regularizada </t>
  </si>
  <si>
    <t>09640.8.4.1  </t>
  </si>
  <si>
    <t>RASPAGEM E CALAFETAÇÃO de taco ou parquete de madeira com uma demão de cera </t>
  </si>
  <si>
    <t>09640.8.5.1  </t>
  </si>
  <si>
    <t>RODAPÉ de madeira de 7 cm de altura, fixado sobre tacos embutidos na parede, espaçados de 50 cm </t>
  </si>
  <si>
    <t>09705.8.2.2  </t>
  </si>
  <si>
    <t>EMBOÇO para parede interna com argamassa de cimento e areia sem peneirar traço 1:3, e=20 mm </t>
  </si>
  <si>
    <t>09705.8.2.10  </t>
  </si>
  <si>
    <t>EMBOÇO para parede interna com argamassa de cal hidratada e areia sem peneirar traço 1:3, e=20 mm </t>
  </si>
  <si>
    <t>09705.8.2.16  </t>
  </si>
  <si>
    <t>EMBOÇO para parede interna com argamassa de cimento e areia sem peneirar traço 1:4, e=20 mm </t>
  </si>
  <si>
    <t>09705.8.2.23  </t>
  </si>
  <si>
    <t>EMBOÇO em teto com argamassa mista de cimento, cal hidratada e areia sem peneirar traço 1:2:11, e=20 mm </t>
  </si>
  <si>
    <t>09705.8.12.4  </t>
  </si>
  <si>
    <t>CHAPISCO para parede interna ou externa com argamassa de cimento e areia sem peneirar traço 1:3, e=5 mm </t>
  </si>
  <si>
    <t>09706.8.1.7  </t>
  </si>
  <si>
    <t>AZULEJO assentado com argamassa pré-fabricada de cimento colante, juntas a prumo </t>
  </si>
  <si>
    <t>09706.8.1.8  </t>
  </si>
  <si>
    <t>AZULEJO assentado com argamassa pré-fabricada de cimento colante, juntas em amarração </t>
  </si>
  <si>
    <t>09706.8.1.9  </t>
  </si>
  <si>
    <t>AZULEJO assentado com argamassa pré-fabricada de cimento colante, juntas em diagonal </t>
  </si>
  <si>
    <t>09706.8.4.1  </t>
  </si>
  <si>
    <t>CANTONEIRA de alumínio para proteção de quinas de superfície revestida com azulejo </t>
  </si>
  <si>
    <t>09720.8.1.1  </t>
  </si>
  <si>
    <t>FORRAÇÃO vinílica para revestimento interno, fixada com cola à base de PVA </t>
  </si>
  <si>
    <t>09720.8.3.1  </t>
  </si>
  <si>
    <t>LAMINADO melamínico para revestimento interno, fixado com cola à base de neoprene, e=1,3 mm </t>
  </si>
  <si>
    <t>09780.8.1.1  </t>
  </si>
  <si>
    <t>REVESTIMENTO de parede interna com painel de gesso acartonado simples, colado diretamente na alvenaria, e= 12,5 mm </t>
  </si>
  <si>
    <t>09906.8.1.1  </t>
  </si>
  <si>
    <t>EMASSAMENTO de esquadria de madeira com massa corrida com duas demãos, para pintura a óleo ou esmalte </t>
  </si>
  <si>
    <t>09906.8.2.1  </t>
  </si>
  <si>
    <t>EMASSAMENTO de parede externa com massa acrílica com duas demãos, para pintura látex </t>
  </si>
  <si>
    <t>09906.8.3.1  </t>
  </si>
  <si>
    <t>EMASSAMENTO de parede interna com massa corrida à base de PVA com duas demãos, para pintura látex </t>
  </si>
  <si>
    <t>09906.8.4.1  </t>
  </si>
  <si>
    <t>APLICAÇÃO de primer epóxi em estrutura de aço carbono com uma demão, e=25 micra, com trincha </t>
  </si>
  <si>
    <t>09906.8.9.1  </t>
  </si>
  <si>
    <t>LIXAMENTO DE SUPERFÍCIE DE CONCRETO grosso ou fino com lixadeira elétrica, para preparação e conservação </t>
  </si>
  <si>
    <t>09906.8.9.2  </t>
  </si>
  <si>
    <t>LIXAMENTO DE SUPERFÍCIE DE CONCRETO manual para preparação e conservação </t>
  </si>
  <si>
    <t>09940.8.2.1  </t>
  </si>
  <si>
    <t>TEXTURA acrílica em parede externa com uma demão </t>
  </si>
  <si>
    <t>10270.8.1.1  </t>
  </si>
  <si>
    <t>PISO elevado, colocado , com sistema de estrutura de sustenção regulável com contraventamento </t>
  </si>
  <si>
    <t>10270.8.1.2  </t>
  </si>
  <si>
    <t>10615.8.2.3  </t>
  </si>
  <si>
    <t>DIVISÓRIA estruturada em perfil de aço duplo, com painel em laminado melamínico e miolo maciço semi-acústico e incombustível, e=35mm </t>
  </si>
  <si>
    <t>10615.8.2.4  </t>
  </si>
  <si>
    <t>DIVISÓRIA estruturada em perfil de aço duplo, com painel em laminado melamínico miolo colméia, e=35mm </t>
  </si>
  <si>
    <t>10640.8.1.1  </t>
  </si>
  <si>
    <t>DIVISÓRIA sanitária de granilite e=3 cm </t>
  </si>
  <si>
    <t>10640.8.3.1  </t>
  </si>
  <si>
    <t>DIVISÓRIA sanitária de granito e=3 cm assentada com argamassa, no traço 1:3 </t>
  </si>
  <si>
    <t>10820.8.10.1  </t>
  </si>
  <si>
    <t>BANCADA em aço inoxidável </t>
  </si>
  <si>
    <t>14510.8.1.1  </t>
  </si>
  <si>
    <t>CARGA mecanizada de entulho em caminhão basculante </t>
  </si>
  <si>
    <t>14510.8.8.10  </t>
  </si>
  <si>
    <t>TRANSPORTE e descarga de terra em caminhão basculante de 6 m³, distância até 10 km </t>
  </si>
  <si>
    <t>14515.8.1.1  </t>
  </si>
  <si>
    <t>15007.8.1.1  </t>
  </si>
  <si>
    <t>BARRA DE APOIO para lavatório de louça, para portadores de deficiência física, comprimento 60 cm, largura 45 cm </t>
  </si>
  <si>
    <t>15007.8.1.2  </t>
  </si>
  <si>
    <t>BARRA DE APOIO para portadores de necessidades especiais, largura 80 cm </t>
  </si>
  <si>
    <t>15007.8.1.3  </t>
  </si>
  <si>
    <t>BARRA DE APOIO para portadores de necessidades especiais, largura 90 cm </t>
  </si>
  <si>
    <t>15110.8.1.2  </t>
  </si>
  <si>
    <t>REGISTRO de gaveta bruto Ø 20 mm (3/4") </t>
  </si>
  <si>
    <t>15110.8.1.5  </t>
  </si>
  <si>
    <t>REGISTRO de gaveta bruto Ø 40 mm (1 1/2") </t>
  </si>
  <si>
    <t>15110.8.1.11  </t>
  </si>
  <si>
    <t>REGISTRO de gaveta com canopla Ø 20 mm (3/4") </t>
  </si>
  <si>
    <t>15110.8.1.14  </t>
  </si>
  <si>
    <t>REGISTRO de gaveta com canopla Ø 40 mm (1 1/2") </t>
  </si>
  <si>
    <t>15110.8.2.2  </t>
  </si>
  <si>
    <t>REGISTRO de pressão com canopla Ø 20 mm (3/4") </t>
  </si>
  <si>
    <t>15110.8.3.1  </t>
  </si>
  <si>
    <t>VÁLVULA de descarga metálica com registro acoplado e canopla, Ø 32 mm (1 1/4") ou 40 mm (1 1/2") </t>
  </si>
  <si>
    <t>15110.8.4.2  </t>
  </si>
  <si>
    <t>VÁLVULA de retenção horizontal ou vertical, Ø 20 mm (3/4") </t>
  </si>
  <si>
    <t>15110.8.5.2  </t>
  </si>
  <si>
    <t>REGISTRO de esfera em PVC roscável, Ø 3/4" </t>
  </si>
  <si>
    <t>15110.8.5.7  </t>
  </si>
  <si>
    <t>REGISTRO de esfera em PVC soldável, Ø 20 mm </t>
  </si>
  <si>
    <t>15110.8.6.3  </t>
  </si>
  <si>
    <t>REGISTRO de pressão em PVC soldável para chuveiro, Ø 20 mm </t>
  </si>
  <si>
    <t>15150.8.2.1  </t>
  </si>
  <si>
    <t>LIGAÇÃO DE ESGOTO completa, com tubo de PVC branco Ø 100 mm, no passeio </t>
  </si>
  <si>
    <t>15150.8.2.3  </t>
  </si>
  <si>
    <t>LIGAÇÃO DE ESGOTO completa, com tubo de PVC branco Ø 100 mm, no eixo </t>
  </si>
  <si>
    <t>15152.8.22.1  </t>
  </si>
  <si>
    <t>TUBO de PVC branco, sem conexões , ponta e bolsa soldável, Ø 40 mm </t>
  </si>
  <si>
    <t>15152.8.22.4  </t>
  </si>
  <si>
    <t>TUBO de PVC branco, sem conexões , ponta bolsa e virola, Ø 100 mm </t>
  </si>
  <si>
    <t>15152.8.29.1  </t>
  </si>
  <si>
    <t>PONTO de esgoto primário, com tubo de PVC branco e conexões, Ø 100 mm </t>
  </si>
  <si>
    <t>15152.8.29.2  </t>
  </si>
  <si>
    <t>PONTO de esgoto secundário, com tubo de PVC branco e conexões, Ø 50 mm </t>
  </si>
  <si>
    <t>15155.8.1.1  </t>
  </si>
  <si>
    <t>CAIXA sifonada de PVC com grelha branca, 100 x 100 x 50 mm </t>
  </si>
  <si>
    <t>15155.8.3.1  </t>
  </si>
  <si>
    <t>RALO de PVC rígido seco , 100 x 50 x 40 mm </t>
  </si>
  <si>
    <t>15155.8.5.1  </t>
  </si>
  <si>
    <t>CAIXA seca de PVC rígido , 100 x 100 x 40 mm </t>
  </si>
  <si>
    <t>15410.8.3.1  </t>
  </si>
  <si>
    <t>BACIA de louça com caixa acoplada, com saída horizontal, tampa e acessórios </t>
  </si>
  <si>
    <t>15410.8.3.2  </t>
  </si>
  <si>
    <t>BACIA de louça com caixa acoplada, com tampa e acessórios </t>
  </si>
  <si>
    <t>15410.8.4.1  </t>
  </si>
  <si>
    <t>TAMPO de granito para pia, e=30,00 mm, largura 0,60 m </t>
  </si>
  <si>
    <t>15410.8.4.2  </t>
  </si>
  <si>
    <t>TAMPO de granito para lavatório, e=30,00 mm, largura 0,60 m </t>
  </si>
  <si>
    <t>15410.8.9.1  </t>
  </si>
  <si>
    <t>CAIXA de descarga suspensa, de plástico </t>
  </si>
  <si>
    <t>15410.8.10.1  </t>
  </si>
  <si>
    <t>CHUVEIRO metalico com articulação </t>
  </si>
  <si>
    <t>15410.8.11.1  </t>
  </si>
  <si>
    <t>CHUVEIRO-DUCHA metálico </t>
  </si>
  <si>
    <t>15410.8.12.1  </t>
  </si>
  <si>
    <t>LAVATÓRIO de louça de embutir (cuba) , com torneira de pressão e acessórios </t>
  </si>
  <si>
    <t>15410.8.12.2  </t>
  </si>
  <si>
    <t>LAVATÓRIO de louça de embutir (cuba) , com aparelho misturador e acessórios </t>
  </si>
  <si>
    <t>15410.8.13.1  </t>
  </si>
  <si>
    <t>DUCHA manual </t>
  </si>
  <si>
    <t>15410.8.16.1  </t>
  </si>
  <si>
    <t>MICTÓRIO de aço inoxidável coletivo </t>
  </si>
  <si>
    <t>15410.8.18.1  </t>
  </si>
  <si>
    <t>MICTÓRIO de louça individual </t>
  </si>
  <si>
    <t>15410.8.23.1  </t>
  </si>
  <si>
    <t>TANQUE de louça com coluna </t>
  </si>
  <si>
    <t>15410.8.28.1  </t>
  </si>
  <si>
    <t>CUBA de aço inoxidável simples, dimensões 400x340x125 mm </t>
  </si>
  <si>
    <t>15480.8.6.1  </t>
  </si>
  <si>
    <t>CHUVEIRO elétrico automático , 220 V - 5400 W </t>
  </si>
  <si>
    <t>16100.8.3.1  </t>
  </si>
  <si>
    <t>PONTO SECO para instalação de som, tv, alarme e lógica, incluindo eletroduto de PVC rígido e caixa com espelho </t>
  </si>
  <si>
    <t>16100.8.3.2  </t>
  </si>
  <si>
    <t>PONTO SECO para instalação de som, tv, alarme e lógica, incluindo eletroduto de PVC flexível corrugado e caixa com espelho </t>
  </si>
  <si>
    <t>16120.8.1.2  </t>
  </si>
  <si>
    <t>CABO ISOLADO em PVC seção 2,5 mm² - 750 V - 70°C - rígido </t>
  </si>
  <si>
    <t>16120.8.1.5  </t>
  </si>
  <si>
    <t>CABO ISOLADO em PVC seção 10 mm² - 750 V - 70°C - rígido </t>
  </si>
  <si>
    <t>16120.8.1.20  </t>
  </si>
  <si>
    <t>CABO ISOLADO em PVC seção 2,5 mm² - 0,6/1kV - 70°C - rígido </t>
  </si>
  <si>
    <t>16120.8.1.23  </t>
  </si>
  <si>
    <t>CABO ISOLADO em PVC seção 10 mm² - 0,6/1kV - 70°C - rígido </t>
  </si>
  <si>
    <t>16120.8.1.38  </t>
  </si>
  <si>
    <t>CABO ISOLADO em PVC seção 2,5 mm² - 750 V - 70°C - flexível </t>
  </si>
  <si>
    <t>16120.8.1.41  </t>
  </si>
  <si>
    <t>CABO ISOLADO em PVC seção 10 mm² - 750 V - 70°C - flexível </t>
  </si>
  <si>
    <t>16120.8.1.53  </t>
  </si>
  <si>
    <t>CABO ISOLADO em PVC seção 2,5 mm² - 0,6/1kV - 70°C - flexível </t>
  </si>
  <si>
    <t>16120.8.1.56  </t>
  </si>
  <si>
    <t>CABO ISOLADO em PVC seção 10 mm² - 0,6/1kV - 70°C - flexível </t>
  </si>
  <si>
    <t>16120.8.2.2  </t>
  </si>
  <si>
    <t>FIO ISOLADO de PVC seção 2,5 mm² - 750 V - 70°C </t>
  </si>
  <si>
    <t>16120.8.2.5  </t>
  </si>
  <si>
    <t>FIO ISOLADO de PVC seção 10 mm² - 750 V - 70°C </t>
  </si>
  <si>
    <t>16120.8.15.2  </t>
  </si>
  <si>
    <t>CABO ISOLADO em EPR seção 2,50 mm² - 0,6/1 KV - 90°C - flexível </t>
  </si>
  <si>
    <t>16120.8.15.5  </t>
  </si>
  <si>
    <t>CABO ISOLADO em EPR seção 10,00 mm² - 0,6/1 KV - 90°C - flexível </t>
  </si>
  <si>
    <t>16120.8.15.20  </t>
  </si>
  <si>
    <t>CABO ISOLADO em EPR não halogenado, seção 2,50 mm² - 0,6/1 KV - 90°C - flexível </t>
  </si>
  <si>
    <t>16120.8.15.23  </t>
  </si>
  <si>
    <t>CABO ISOLADO em EPR não halogenado, seção 10,00 mm² - 0,6/1 KV - 90°C - flexível </t>
  </si>
  <si>
    <t>16120.8.16.2  </t>
  </si>
  <si>
    <t>CABO ISOLADO em termoplástico não halogenado, seção 2,50 mm² - 450/750 V - 70°C - flexível </t>
  </si>
  <si>
    <t>16132.8.1.2  </t>
  </si>
  <si>
    <t>ELETRODUTO de PVC rígido roscável, sem conexões Ø 25 mm (3/4")  </t>
  </si>
  <si>
    <t>16132.8.2.2  </t>
  </si>
  <si>
    <t>ELETRODUTO de PVC rígido roscável, com conexões Ø 25 mm (3/4")  </t>
  </si>
  <si>
    <t>16132.8.3.4  </t>
  </si>
  <si>
    <t>ELETRODUTO de PVC flexível corrugado Ø 32 mm (1")  </t>
  </si>
  <si>
    <t>16132.8.6.2  </t>
  </si>
  <si>
    <t>CAIXA DE LIGAÇÃO de PVC rígido para eletroduto roscável, quadrada, dimensões 4 x 4" </t>
  </si>
  <si>
    <t>16132.8.7.2  </t>
  </si>
  <si>
    <t>CONDULETE de PVC rígido encaixe para eletroduto rígido Ø 32 mm (1")  </t>
  </si>
  <si>
    <t>16132.8.10.3  </t>
  </si>
  <si>
    <t>ELETRODUTO de PVC rígido de encaixe, com conexões, Ø 32 mm (1")  </t>
  </si>
  <si>
    <t>16132.8.14.2  </t>
  </si>
  <si>
    <t>CAIXA DE LIGAÇÃO de PVC para eletroduto flexível , quadrada, dimensões 4 x 4" </t>
  </si>
  <si>
    <t>16132.8.14.3  </t>
  </si>
  <si>
    <t>CAIXA DE LIGAÇÃO de PVC para eletroduto flexível , octogonal com fundo móvel, dimensões 4 x 4" </t>
  </si>
  <si>
    <t>16132.8.15.3  </t>
  </si>
  <si>
    <t>LUVA de PVC para eletroduto flexível corrugado, Ø 32 mm (1")  </t>
  </si>
  <si>
    <t>16132.8.16.2  </t>
  </si>
  <si>
    <t>CAIXA DE EMBUTIR em PVC para paredes de gesso acartonado , 4 x 4" </t>
  </si>
  <si>
    <t>16132.8.17.2  </t>
  </si>
  <si>
    <t>CAIXA DE SOBREPOR em PVC para instalação elétrica, até 2 divisões modulares sendo uma para tomada redonda, dimensões externas 128 x 125 x 62 mm </t>
  </si>
  <si>
    <t>16132.8.18.1  </t>
  </si>
  <si>
    <t>PONTO de luz com eletroduto de PVC rígido, Ø 3/4" </t>
  </si>
  <si>
    <t>16133.8.9.1  </t>
  </si>
  <si>
    <t>CANALETA em PVC para instalação elétrica aparente, inclusive conexões, dimensões 20 x 10 mm </t>
  </si>
  <si>
    <t>16133.8.9.2  </t>
  </si>
  <si>
    <t>CANALETA em PVC para instalação elétrica aparente, inclusive conexões, dimensões 50 x 20 mm </t>
  </si>
  <si>
    <t>16139.8.1.1  </t>
  </si>
  <si>
    <t>QUADRO de distribuição de luz em PVC de embutir, até 8 divisões modulares, dimensões externas 160 x 240 x 89 mm </t>
  </si>
  <si>
    <t>16139.8.1.2  </t>
  </si>
  <si>
    <t>QUADRO de distribuição de luz em PVC de embutir, até 16 divisões modulares, dimensões externas 260 x 310 x 85 mm </t>
  </si>
  <si>
    <t>16141.8.2.5  </t>
  </si>
  <si>
    <t>DISJUNTOR MONOPOLAR termomagnético de 10 A em quadro de distribuição </t>
  </si>
  <si>
    <t>16141.8.2.11  </t>
  </si>
  <si>
    <t>DISJUNTOR MONOPOLAR termomagnético de 50 A em quadro de distribuição </t>
  </si>
  <si>
    <t>16141.8.3.5  </t>
  </si>
  <si>
    <t>DISJUNTOR BIPOLAR termomagnético de 10 A em quadro de distribuição </t>
  </si>
  <si>
    <t>16141.8.3.11  </t>
  </si>
  <si>
    <t>DISJUNTOR BIPOLAR termomagnético de 50 A em quadro de distribuição </t>
  </si>
  <si>
    <t>16141.8.4.11  </t>
  </si>
  <si>
    <t>DISJUNTOR TRIPOLAR termomagnético de 50 A em quadro de distribuição </t>
  </si>
  <si>
    <t>16143.8.2.1  </t>
  </si>
  <si>
    <t>INTERRUPTOR , duas teclas simples 10 A - 250 V </t>
  </si>
  <si>
    <t>16143.8.2.9  </t>
  </si>
  <si>
    <t>INTERRUPTOR , uma tecla simples 10 A - 250 V </t>
  </si>
  <si>
    <t>16143.8.3.1  </t>
  </si>
  <si>
    <t>INTERRUPTOR E TOMADA , duas teclas simples e uma tomada dois pólos 10 A - 250 V </t>
  </si>
  <si>
    <t>16143.8.3.4  </t>
  </si>
  <si>
    <t>INTERRUPTOR E TOMADA , uma tecla simples e uma tomada dois pólos universal 10 A - 250 V </t>
  </si>
  <si>
    <t>16143.8.5.3  </t>
  </si>
  <si>
    <t>PLACA (ESPELHO) PARA CAIXA , 4x4 </t>
  </si>
  <si>
    <t>16143.8.6.2  </t>
  </si>
  <si>
    <t>TOMADA universal dois pólos 10 A - 250 V </t>
  </si>
  <si>
    <t>16143.8.8.2  </t>
  </si>
  <si>
    <t>TOMADA PARA TELEFONE quatro pólos, padrão Telebrás </t>
  </si>
  <si>
    <t>16143.8.9.1  </t>
  </si>
  <si>
    <t>TOMADA UNIVERSAL monofásica de embutir para duto de piso 10 A - 250 V </t>
  </si>
  <si>
    <t>16143.8.11.1  </t>
  </si>
  <si>
    <t>PONTO de tomada com eletroduto de PVC rígido, sem placa, Ø 3/4" </t>
  </si>
  <si>
    <t>16143.8.12.1  </t>
  </si>
  <si>
    <t>PONTO de interruptor com eletroduto de PVC rígido roscável, Ø 3/4" </t>
  </si>
  <si>
    <t>16510.8.2.2  </t>
  </si>
  <si>
    <t>LUMINÁRIA FLUORESCENTE completa industrial com 2 lâmpadas de 40 W, tipo calha de sobrepor </t>
  </si>
  <si>
    <t>16510.8.2.5  </t>
  </si>
  <si>
    <t>LUMINÁRIA FLUORESCENTE completa industrial com 4 lâmpadas de 40 W, tipo calha de sobrepor </t>
  </si>
  <si>
    <t>16510.8.2.8  </t>
  </si>
  <si>
    <t>LUMINÁRIA FLUORESCENTE completa comercial com 1 lâmpada de 40 W, tipo calha de sobrepor </t>
  </si>
  <si>
    <t>16510.8.2.9  </t>
  </si>
  <si>
    <t>LUMINÁRIA FLUORESCENTE completa comercial com 2 lâmpada de 40 W, tipo calha de sobrepor </t>
  </si>
  <si>
    <t>16510.8.3.1  </t>
  </si>
  <si>
    <t>PENDENTE OU PLAFONIER com globo leitoso e lâmpada de 60 W </t>
  </si>
  <si>
    <t>16530.8.1.1  </t>
  </si>
  <si>
    <t>LUMINÁRIA FLUORESCENTE completa para emergência de 15 W </t>
  </si>
  <si>
    <t>16715.8.7.1  </t>
  </si>
  <si>
    <t>PONTO de telefone - tubulação seca - Ø 3/4" </t>
  </si>
  <si>
    <t>16973.8.1.1  </t>
  </si>
  <si>
    <t>DUTO corrugado em PEAD (polietileno de alta densidade), para proteção de cabos subterrâneos Ø 1 1/2" (40 mm) </t>
  </si>
  <si>
    <t>16973.8.1.4  </t>
  </si>
  <si>
    <t>DUTO corrugado em PEAD (polietileno de alta densidade), para proteção de cabos subterrâneos Ø 4" (100 mm) </t>
  </si>
  <si>
    <t>16973.8.2.2  </t>
  </si>
  <si>
    <t>CONEXÃO em PEAD (polietileno de alta densidade), para unir dutos corrugados Ø 1 1/2" (40 mm) </t>
  </si>
  <si>
    <t>16973.8.2.5  </t>
  </si>
  <si>
    <t>CONEXÃO em PEAD (polietileno de alta densidade), para unir dutos corrugados Ø 4" (100 mm) </t>
  </si>
  <si>
    <t>16973.8.3.2  </t>
  </si>
  <si>
    <t>CONEXÃO em PEAD (polietileno de alta densidade), para unir duto corrugado flexível com tubo liso Ø 1 1/2" (40 mm) </t>
  </si>
  <si>
    <t>16973.8.3.5  </t>
  </si>
  <si>
    <t>CONEXÃO em PEAD (polietileno de alta densidade), para unir duto corrugado flexível com tubo liso Ø 4" (100 mm) </t>
  </si>
  <si>
    <t>REEMBOLSO DE KM RODADO PARA CIDADE COM DISTÂNCIA ACIMA DE 30 KM DE ARACAJU</t>
  </si>
  <si>
    <t>KM</t>
  </si>
  <si>
    <t>TOTAL GLOBAL 02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</si>
</sst>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[$R$-416]* #,##0.00_-;\-[$R$-416]* #,##0.00_-;_-[$R$-416]* &quot;-&quot;??_-;_-@_-"/>
  </numFmts>
  <fonts count="17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Trebuchet MS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Trebuchet MS"/>
      <family val="2"/>
    </font>
    <font>
      <b/>
      <sz val="10"/>
      <color theme="0"/>
      <name val="Trebuchet MS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rgb="FF24406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indexed="64"/>
      </right>
      <top/>
      <bottom style="medium">
        <color rgb="FF505050"/>
      </bottom>
      <diagonal/>
    </border>
    <border>
      <left style="medium">
        <color indexed="64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85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164" fontId="0" fillId="0" borderId="5" xfId="1" applyFont="1" applyBorder="1" applyAlignment="1">
      <alignment horizontal="right"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0" fillId="0" borderId="3" xfId="0" applyBorder="1" applyAlignment="1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" fontId="4" fillId="4" borderId="5" xfId="0" applyNumberFormat="1" applyFont="1" applyFill="1" applyBorder="1" applyAlignment="1">
      <alignment vertical="center"/>
    </xf>
    <xf numFmtId="4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64" fontId="3" fillId="5" borderId="5" xfId="1" applyFont="1" applyFill="1" applyBorder="1" applyAlignment="1">
      <alignment horizontal="center" vertical="center" wrapText="1"/>
    </xf>
    <xf numFmtId="164" fontId="3" fillId="5" borderId="5" xfId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164" fontId="1" fillId="5" borderId="5" xfId="1" applyFont="1" applyFill="1" applyBorder="1" applyAlignment="1">
      <alignment horizontal="center" vertical="center"/>
    </xf>
    <xf numFmtId="164" fontId="1" fillId="5" borderId="5" xfId="1" applyFont="1" applyFill="1" applyBorder="1" applyAlignment="1">
      <alignment horizontal="right" vertical="center"/>
    </xf>
    <xf numFmtId="4" fontId="1" fillId="5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 applyProtection="1">
      <alignment horizontal="left" vertical="center" wrapText="1"/>
      <protection locked="0"/>
    </xf>
    <xf numFmtId="0" fontId="13" fillId="4" borderId="10" xfId="0" applyFont="1" applyFill="1" applyBorder="1" applyAlignment="1" applyProtection="1">
      <alignment horizontal="center" vertical="center" wrapText="1"/>
      <protection hidden="1"/>
    </xf>
    <xf numFmtId="0" fontId="13" fillId="4" borderId="11" xfId="0" applyFont="1" applyFill="1" applyBorder="1" applyAlignment="1" applyProtection="1">
      <alignment horizontal="center" vertical="center" wrapText="1"/>
      <protection hidden="1"/>
    </xf>
    <xf numFmtId="0" fontId="13" fillId="4" borderId="11" xfId="0" applyFont="1" applyFill="1" applyBorder="1" applyAlignment="1" applyProtection="1">
      <alignment horizontal="center" vertical="center"/>
      <protection hidden="1"/>
    </xf>
    <xf numFmtId="165" fontId="13" fillId="4" borderId="11" xfId="0" applyNumberFormat="1" applyFont="1" applyFill="1" applyBorder="1" applyAlignment="1" applyProtection="1">
      <alignment horizontal="center" vertical="center" wrapText="1"/>
      <protection hidden="1"/>
    </xf>
    <xf numFmtId="165" fontId="13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13" xfId="0" applyFont="1" applyBorder="1" applyAlignment="1" applyProtection="1">
      <alignment horizontal="center" vertical="center"/>
      <protection hidden="1"/>
    </xf>
    <xf numFmtId="0" fontId="11" fillId="0" borderId="14" xfId="0" applyFont="1" applyBorder="1" applyAlignment="1" applyProtection="1">
      <alignment horizontal="center" vertical="center"/>
      <protection hidden="1"/>
    </xf>
    <xf numFmtId="0" fontId="11" fillId="0" borderId="14" xfId="0" applyFont="1" applyBorder="1" applyAlignment="1" applyProtection="1">
      <alignment horizontal="left" vertical="center" wrapText="1"/>
      <protection locked="0"/>
    </xf>
    <xf numFmtId="164" fontId="0" fillId="6" borderId="5" xfId="0" applyNumberFormat="1" applyFill="1" applyBorder="1" applyProtection="1">
      <protection locked="0"/>
    </xf>
    <xf numFmtId="165" fontId="11" fillId="2" borderId="14" xfId="3" applyNumberFormat="1" applyFont="1" applyFill="1" applyBorder="1" applyAlignment="1" applyProtection="1">
      <alignment horizontal="center" vertical="center"/>
      <protection hidden="1"/>
    </xf>
    <xf numFmtId="165" fontId="11" fillId="0" borderId="15" xfId="3" applyNumberFormat="1" applyFont="1" applyFill="1" applyBorder="1" applyAlignment="1" applyProtection="1">
      <alignment horizontal="center" vertical="center"/>
      <protection hidden="1"/>
    </xf>
    <xf numFmtId="0" fontId="11" fillId="2" borderId="16" xfId="0" applyFont="1" applyFill="1" applyBorder="1" applyAlignment="1" applyProtection="1">
      <alignment horizontal="center" vertical="center"/>
      <protection hidden="1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11" fillId="2" borderId="13" xfId="0" applyFont="1" applyFill="1" applyBorder="1" applyAlignment="1" applyProtection="1">
      <alignment horizontal="center" vertical="center"/>
      <protection hidden="1"/>
    </xf>
    <xf numFmtId="165" fontId="11" fillId="6" borderId="14" xfId="3" applyNumberFormat="1" applyFont="1" applyFill="1" applyBorder="1" applyAlignment="1" applyProtection="1">
      <alignment horizontal="center" vertical="center"/>
      <protection locked="0" hidden="1"/>
    </xf>
    <xf numFmtId="0" fontId="11" fillId="2" borderId="17" xfId="0" applyFont="1" applyFill="1" applyBorder="1" applyAlignment="1" applyProtection="1">
      <alignment horizontal="center" vertical="center"/>
      <protection hidden="1"/>
    </xf>
    <xf numFmtId="0" fontId="11" fillId="2" borderId="17" xfId="0" applyFont="1" applyFill="1" applyBorder="1" applyAlignment="1" applyProtection="1">
      <alignment horizontal="left" vertical="center" wrapText="1"/>
      <protection locked="0"/>
    </xf>
    <xf numFmtId="165" fontId="11" fillId="2" borderId="18" xfId="3" applyNumberFormat="1" applyFont="1" applyFill="1" applyBorder="1" applyAlignment="1" applyProtection="1">
      <alignment horizontal="center" vertical="center"/>
      <protection hidden="1"/>
    </xf>
    <xf numFmtId="0" fontId="11" fillId="0" borderId="17" xfId="0" applyFont="1" applyBorder="1" applyAlignment="1" applyProtection="1">
      <alignment horizontal="center" vertical="center"/>
      <protection hidden="1"/>
    </xf>
    <xf numFmtId="0" fontId="11" fillId="0" borderId="17" xfId="0" applyFont="1" applyBorder="1" applyAlignment="1" applyProtection="1">
      <alignment horizontal="left" vertical="center" wrapText="1"/>
      <protection locked="0"/>
    </xf>
    <xf numFmtId="165" fontId="11" fillId="2" borderId="5" xfId="3" applyNumberFormat="1" applyFont="1" applyFill="1" applyBorder="1" applyAlignment="1" applyProtection="1">
      <alignment horizontal="center" vertical="center"/>
      <protection hidden="1"/>
    </xf>
    <xf numFmtId="165" fontId="11" fillId="0" borderId="19" xfId="3" applyNumberFormat="1" applyFont="1" applyFill="1" applyBorder="1" applyAlignment="1" applyProtection="1">
      <alignment horizontal="center" vertical="center"/>
      <protection hidden="1"/>
    </xf>
    <xf numFmtId="0" fontId="11" fillId="2" borderId="20" xfId="0" applyFont="1" applyFill="1" applyBorder="1" applyAlignment="1" applyProtection="1">
      <alignment horizontal="center" vertical="center"/>
      <protection hidden="1"/>
    </xf>
    <xf numFmtId="0" fontId="11" fillId="2" borderId="21" xfId="0" applyFont="1" applyFill="1" applyBorder="1" applyAlignment="1" applyProtection="1">
      <alignment horizontal="center" vertical="center"/>
      <protection hidden="1"/>
    </xf>
    <xf numFmtId="0" fontId="11" fillId="2" borderId="21" xfId="0" applyFont="1" applyFill="1" applyBorder="1" applyAlignment="1" applyProtection="1">
      <alignment horizontal="left" vertical="center" wrapText="1"/>
      <protection locked="0"/>
    </xf>
    <xf numFmtId="165" fontId="11" fillId="6" borderId="21" xfId="3" applyNumberFormat="1" applyFont="1" applyFill="1" applyBorder="1" applyAlignment="1" applyProtection="1">
      <alignment vertical="center"/>
      <protection locked="0" hidden="1"/>
    </xf>
    <xf numFmtId="165" fontId="11" fillId="2" borderId="22" xfId="3" applyNumberFormat="1" applyFont="1" applyFill="1" applyBorder="1" applyAlignment="1" applyProtection="1">
      <alignment horizontal="center" vertical="center"/>
      <protection hidden="1"/>
    </xf>
    <xf numFmtId="165" fontId="14" fillId="7" borderId="26" xfId="0" applyNumberFormat="1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>
      <alignment vertical="center"/>
    </xf>
    <xf numFmtId="16" fontId="9" fillId="2" borderId="8" xfId="0" applyNumberFormat="1" applyFont="1" applyFill="1" applyBorder="1" applyAlignment="1">
      <alignment horizontal="center" vertical="center" wrapText="1"/>
    </xf>
    <xf numFmtId="164" fontId="16" fillId="2" borderId="8" xfId="0" applyNumberFormat="1" applyFont="1" applyFill="1" applyBorder="1" applyAlignment="1" applyProtection="1">
      <alignment vertical="center"/>
      <protection locked="0"/>
    </xf>
    <xf numFmtId="0" fontId="9" fillId="2" borderId="8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1" fillId="0" borderId="9" xfId="0" applyFont="1" applyBorder="1" applyAlignment="1" applyProtection="1">
      <alignment horizontal="left" vertical="center" wrapText="1"/>
      <protection locked="0"/>
    </xf>
    <xf numFmtId="16" fontId="9" fillId="0" borderId="8" xfId="0" applyNumberFormat="1" applyFont="1" applyBorder="1" applyAlignment="1">
      <alignment horizontal="center" vertical="center" wrapText="1"/>
    </xf>
    <xf numFmtId="164" fontId="16" fillId="0" borderId="8" xfId="0" applyNumberFormat="1" applyFont="1" applyBorder="1" applyAlignment="1" applyProtection="1">
      <alignment vertical="center"/>
      <protection locked="0"/>
    </xf>
    <xf numFmtId="0" fontId="9" fillId="0" borderId="8" xfId="0" applyFont="1" applyBorder="1" applyAlignment="1">
      <alignment horizontal="center" vertical="center"/>
    </xf>
    <xf numFmtId="164" fontId="0" fillId="0" borderId="5" xfId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14" fillId="4" borderId="23" xfId="0" applyNumberFormat="1" applyFont="1" applyFill="1" applyBorder="1" applyAlignment="1" applyProtection="1">
      <alignment horizontal="center" vertical="center" wrapText="1"/>
      <protection hidden="1"/>
    </xf>
    <xf numFmtId="165" fontId="14" fillId="4" borderId="24" xfId="0" applyNumberFormat="1" applyFont="1" applyFill="1" applyBorder="1" applyAlignment="1" applyProtection="1">
      <alignment horizontal="center" vertical="center" wrapText="1"/>
      <protection hidden="1"/>
    </xf>
    <xf numFmtId="165" fontId="14" fillId="4" borderId="25" xfId="0" applyNumberFormat="1" applyFont="1" applyFill="1" applyBorder="1" applyAlignment="1" applyProtection="1">
      <alignment horizontal="center" vertical="center" wrapText="1"/>
      <protection hidden="1"/>
    </xf>
  </cellXfs>
  <cellStyles count="4">
    <cellStyle name="Moeda" xfId="1" builtinId="4"/>
    <cellStyle name="Moeda 2" xfId="2" xr:uid="{00000000-0005-0000-0000-000001000000}"/>
    <cellStyle name="Normal" xfId="0" builtinId="0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101600</xdr:rowOff>
    </xdr:from>
    <xdr:to>
      <xdr:col>2</xdr:col>
      <xdr:colOff>749300</xdr:colOff>
      <xdr:row>4</xdr:row>
      <xdr:rowOff>118208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01600"/>
          <a:ext cx="2324100" cy="715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9"/>
  <sheetViews>
    <sheetView showGridLines="0" tabSelected="1" zoomScale="55" zoomScaleNormal="55" workbookViewId="0">
      <selection activeCell="H6" sqref="H6"/>
    </sheetView>
  </sheetViews>
  <sheetFormatPr defaultColWidth="14.42578125" defaultRowHeight="15" customHeight="1"/>
  <cols>
    <col min="1" max="1" width="0.5703125" style="5" customWidth="1"/>
    <col min="2" max="2" width="29.42578125" style="5" customWidth="1"/>
    <col min="3" max="3" width="41.5703125" style="5" customWidth="1"/>
    <col min="4" max="4" width="37.5703125" style="5" customWidth="1"/>
    <col min="5" max="5" width="43.140625" style="5" bestFit="1" customWidth="1"/>
    <col min="6" max="7" width="33.5703125" style="5" customWidth="1"/>
    <col min="8" max="9" width="31.42578125" style="5" customWidth="1"/>
    <col min="10" max="10" width="17.42578125" style="4" customWidth="1"/>
    <col min="11" max="11" width="16.5703125" style="5" bestFit="1" customWidth="1"/>
    <col min="12" max="12" width="21.5703125" style="4" customWidth="1"/>
    <col min="13" max="13" width="21.42578125" style="5" customWidth="1"/>
    <col min="14" max="14" width="22.42578125" style="4" customWidth="1"/>
    <col min="15" max="16" width="22.5703125" style="4" customWidth="1"/>
    <col min="17" max="17" width="33.140625" style="13" customWidth="1"/>
    <col min="18" max="18" width="26.5703125" style="5" customWidth="1"/>
    <col min="19" max="19" width="27.42578125" style="5" customWidth="1"/>
    <col min="20" max="16384" width="14.42578125" style="5"/>
  </cols>
  <sheetData>
    <row r="1" spans="2:20" ht="9.75" customHeight="1">
      <c r="H1" s="2"/>
      <c r="I1" s="2"/>
    </row>
    <row r="2" spans="2:20" ht="14.45">
      <c r="B2" s="80"/>
      <c r="C2" s="81"/>
      <c r="H2" s="2"/>
      <c r="I2" s="2"/>
    </row>
    <row r="3" spans="2:20" ht="14.45">
      <c r="B3" s="81"/>
      <c r="C3" s="81"/>
      <c r="H3" s="2"/>
      <c r="I3" s="2"/>
    </row>
    <row r="4" spans="2:20" ht="14.45">
      <c r="B4" s="81"/>
      <c r="C4" s="81"/>
      <c r="H4" s="2"/>
      <c r="I4" s="2"/>
    </row>
    <row r="5" spans="2:20" thickBot="1">
      <c r="B5" s="81"/>
      <c r="C5" s="81"/>
      <c r="H5" s="2"/>
      <c r="I5" s="2"/>
    </row>
    <row r="6" spans="2:20" ht="21" customHeight="1">
      <c r="B6" s="6" t="s">
        <v>0</v>
      </c>
      <c r="C6" s="7">
        <v>2025001101</v>
      </c>
      <c r="D6" s="10"/>
      <c r="H6" s="2"/>
      <c r="I6" s="2"/>
    </row>
    <row r="7" spans="2:20" ht="36" customHeight="1">
      <c r="B7" s="1" t="s">
        <v>1</v>
      </c>
      <c r="C7" s="30" t="s">
        <v>2</v>
      </c>
      <c r="D7" s="11"/>
      <c r="H7" s="2"/>
      <c r="I7" s="2"/>
      <c r="O7" s="8"/>
      <c r="P7" s="8"/>
    </row>
    <row r="8" spans="2:20" ht="25.5" customHeight="1" thickBot="1">
      <c r="B8" s="9" t="s">
        <v>3</v>
      </c>
      <c r="C8" s="68" t="s">
        <v>4</v>
      </c>
      <c r="D8" s="12"/>
      <c r="H8" s="2"/>
      <c r="I8" s="2"/>
    </row>
    <row r="9" spans="2:20" ht="14.45">
      <c r="H9" s="2"/>
      <c r="I9" s="2"/>
    </row>
    <row r="10" spans="2:20" ht="39" customHeight="1">
      <c r="B10" s="18" t="s">
        <v>5</v>
      </c>
      <c r="C10" s="19" t="s">
        <v>6</v>
      </c>
      <c r="D10" s="19" t="s">
        <v>7</v>
      </c>
      <c r="E10" s="18" t="s">
        <v>8</v>
      </c>
      <c r="F10" s="18" t="s">
        <v>9</v>
      </c>
      <c r="G10" s="18" t="s">
        <v>10</v>
      </c>
      <c r="H10" s="19" t="s">
        <v>11</v>
      </c>
      <c r="I10" s="20" t="s">
        <v>12</v>
      </c>
      <c r="J10" s="21" t="s">
        <v>13</v>
      </c>
      <c r="K10" s="19" t="s">
        <v>14</v>
      </c>
      <c r="L10" s="21" t="s">
        <v>15</v>
      </c>
      <c r="M10" s="19" t="s">
        <v>16</v>
      </c>
      <c r="N10" s="22" t="s">
        <v>17</v>
      </c>
      <c r="O10" s="22" t="s">
        <v>18</v>
      </c>
      <c r="P10" s="22" t="s">
        <v>19</v>
      </c>
      <c r="Q10" s="28" t="s">
        <v>20</v>
      </c>
      <c r="R10" s="28" t="s">
        <v>21</v>
      </c>
      <c r="S10" s="29" t="s">
        <v>22</v>
      </c>
    </row>
    <row r="11" spans="2:20" ht="84.6" customHeight="1">
      <c r="B11" s="31" t="s">
        <v>23</v>
      </c>
      <c r="C11" s="32" t="s">
        <v>24</v>
      </c>
      <c r="D11" s="69" t="s">
        <v>25</v>
      </c>
      <c r="E11" s="66" t="s">
        <v>26</v>
      </c>
      <c r="F11" s="70" t="s">
        <v>27</v>
      </c>
      <c r="G11" s="67">
        <v>40</v>
      </c>
      <c r="H11" s="33" t="s">
        <v>28</v>
      </c>
      <c r="I11" s="63" t="s">
        <v>29</v>
      </c>
      <c r="J11" s="64">
        <v>42.1</v>
      </c>
      <c r="K11" s="65">
        <v>120</v>
      </c>
      <c r="L11" s="71">
        <v>1.9</v>
      </c>
      <c r="M11" s="62"/>
      <c r="N11" s="3">
        <f t="shared" ref="N11:N17" si="0">PRODUCT(J11,K11)</f>
        <v>5052</v>
      </c>
      <c r="O11" s="3">
        <f t="shared" ref="O11:O17" si="1">SUM(N11+(L11*M11))</f>
        <v>5052</v>
      </c>
      <c r="P11" s="16"/>
      <c r="Q11" s="17">
        <v>160000000</v>
      </c>
      <c r="R11" s="73"/>
      <c r="S11" s="15" t="s">
        <v>30</v>
      </c>
    </row>
    <row r="12" spans="2:20" ht="88.7" customHeight="1">
      <c r="B12" s="31" t="s">
        <v>23</v>
      </c>
      <c r="C12" s="32" t="s">
        <v>24</v>
      </c>
      <c r="D12" s="69" t="s">
        <v>25</v>
      </c>
      <c r="E12" s="66" t="s">
        <v>31</v>
      </c>
      <c r="F12" s="70" t="s">
        <v>27</v>
      </c>
      <c r="G12" s="67">
        <v>261</v>
      </c>
      <c r="H12" s="33" t="s">
        <v>32</v>
      </c>
      <c r="I12" s="63" t="s">
        <v>29</v>
      </c>
      <c r="J12" s="64">
        <v>14.030000000000001</v>
      </c>
      <c r="K12" s="65">
        <v>120</v>
      </c>
      <c r="L12" s="71">
        <v>1.9</v>
      </c>
      <c r="M12" s="62"/>
      <c r="N12" s="3">
        <f t="shared" si="0"/>
        <v>1683.6000000000001</v>
      </c>
      <c r="O12" s="3">
        <f t="shared" si="1"/>
        <v>1683.6000000000001</v>
      </c>
      <c r="P12" s="16"/>
      <c r="Q12" s="17">
        <v>160000000</v>
      </c>
      <c r="R12" s="73"/>
      <c r="S12" s="15" t="s">
        <v>30</v>
      </c>
    </row>
    <row r="13" spans="2:20" ht="79.7" customHeight="1">
      <c r="B13" s="31" t="s">
        <v>23</v>
      </c>
      <c r="C13" s="32" t="s">
        <v>24</v>
      </c>
      <c r="D13" s="69" t="s">
        <v>25</v>
      </c>
      <c r="E13" s="66" t="s">
        <v>33</v>
      </c>
      <c r="F13" s="70" t="s">
        <v>27</v>
      </c>
      <c r="G13" s="67">
        <v>43</v>
      </c>
      <c r="H13" s="33" t="s">
        <v>34</v>
      </c>
      <c r="I13" s="63" t="s">
        <v>29</v>
      </c>
      <c r="J13" s="64">
        <v>11.62</v>
      </c>
      <c r="K13" s="65">
        <v>600</v>
      </c>
      <c r="L13" s="71">
        <v>1.9</v>
      </c>
      <c r="M13" s="62"/>
      <c r="N13" s="3">
        <f t="shared" si="0"/>
        <v>6971.9999999999991</v>
      </c>
      <c r="O13" s="3">
        <f t="shared" si="1"/>
        <v>6971.9999999999991</v>
      </c>
      <c r="P13" s="16"/>
      <c r="Q13" s="17">
        <v>160000000</v>
      </c>
      <c r="R13" s="73"/>
      <c r="S13" s="15" t="s">
        <v>30</v>
      </c>
    </row>
    <row r="14" spans="2:20" ht="79.7" customHeight="1">
      <c r="B14" s="31" t="s">
        <v>23</v>
      </c>
      <c r="C14" s="31" t="s">
        <v>24</v>
      </c>
      <c r="D14" s="69" t="s">
        <v>25</v>
      </c>
      <c r="E14" s="66" t="s">
        <v>35</v>
      </c>
      <c r="F14" s="70" t="s">
        <v>27</v>
      </c>
      <c r="G14" s="67">
        <v>87</v>
      </c>
      <c r="H14" s="75" t="s">
        <v>36</v>
      </c>
      <c r="I14" s="76" t="s">
        <v>29</v>
      </c>
      <c r="J14" s="77">
        <v>61.730000000000004</v>
      </c>
      <c r="K14" s="78">
        <v>36</v>
      </c>
      <c r="L14" s="71">
        <v>1.9</v>
      </c>
      <c r="M14" s="62"/>
      <c r="N14" s="79">
        <f t="shared" si="0"/>
        <v>2222.2800000000002</v>
      </c>
      <c r="O14" s="79">
        <f t="shared" si="1"/>
        <v>2222.2800000000002</v>
      </c>
      <c r="P14" s="16"/>
      <c r="Q14" s="17">
        <v>160000000</v>
      </c>
      <c r="R14" s="73"/>
      <c r="S14" s="15" t="s">
        <v>30</v>
      </c>
      <c r="T14" s="72"/>
    </row>
    <row r="15" spans="2:20" ht="90" customHeight="1">
      <c r="B15" s="31" t="s">
        <v>23</v>
      </c>
      <c r="C15" s="31" t="s">
        <v>24</v>
      </c>
      <c r="D15" s="69" t="s">
        <v>25</v>
      </c>
      <c r="E15" s="66" t="s">
        <v>37</v>
      </c>
      <c r="F15" s="70" t="s">
        <v>27</v>
      </c>
      <c r="G15" s="67">
        <v>103</v>
      </c>
      <c r="H15" s="75" t="s">
        <v>38</v>
      </c>
      <c r="I15" s="76" t="s">
        <v>29</v>
      </c>
      <c r="J15" s="71">
        <v>8.1999999999999993</v>
      </c>
      <c r="K15" s="78">
        <v>337</v>
      </c>
      <c r="L15" s="71">
        <v>1.9</v>
      </c>
      <c r="M15" s="62"/>
      <c r="N15" s="79">
        <f>PRODUCT(J15,K15)</f>
        <v>2763.3999999999996</v>
      </c>
      <c r="O15" s="79">
        <f t="shared" si="1"/>
        <v>2763.3999999999996</v>
      </c>
      <c r="P15" s="16"/>
      <c r="Q15" s="17">
        <v>160000000</v>
      </c>
      <c r="R15" s="73"/>
      <c r="S15" s="15" t="s">
        <v>30</v>
      </c>
      <c r="T15" s="72"/>
    </row>
    <row r="16" spans="2:20" ht="74.099999999999994" customHeight="1">
      <c r="B16" s="31" t="s">
        <v>23</v>
      </c>
      <c r="C16" s="31" t="s">
        <v>24</v>
      </c>
      <c r="D16" s="69" t="s">
        <v>25</v>
      </c>
      <c r="E16" s="66" t="s">
        <v>39</v>
      </c>
      <c r="F16" s="70" t="s">
        <v>27</v>
      </c>
      <c r="G16" s="67">
        <v>104</v>
      </c>
      <c r="H16" s="75" t="s">
        <v>40</v>
      </c>
      <c r="I16" s="76" t="s">
        <v>29</v>
      </c>
      <c r="J16" s="71">
        <v>393.25</v>
      </c>
      <c r="K16" s="78">
        <v>16.100000000000001</v>
      </c>
      <c r="L16" s="71">
        <v>1.9</v>
      </c>
      <c r="M16" s="62"/>
      <c r="N16" s="79">
        <f t="shared" si="0"/>
        <v>6331.3250000000007</v>
      </c>
      <c r="O16" s="79">
        <f t="shared" si="1"/>
        <v>6331.3250000000007</v>
      </c>
      <c r="P16" s="16"/>
      <c r="Q16" s="17">
        <v>160000000</v>
      </c>
      <c r="R16" s="73"/>
      <c r="S16" s="15" t="s">
        <v>30</v>
      </c>
      <c r="T16" s="72"/>
    </row>
    <row r="17" spans="1:20" ht="74.099999999999994" customHeight="1">
      <c r="B17" s="31" t="s">
        <v>23</v>
      </c>
      <c r="C17" s="32" t="s">
        <v>41</v>
      </c>
      <c r="D17" s="69" t="s">
        <v>25</v>
      </c>
      <c r="E17" s="66" t="s">
        <v>42</v>
      </c>
      <c r="F17" s="70">
        <v>46249</v>
      </c>
      <c r="G17" s="67">
        <v>107</v>
      </c>
      <c r="H17" s="33" t="s">
        <v>43</v>
      </c>
      <c r="I17" s="63" t="s">
        <v>29</v>
      </c>
      <c r="J17" s="64">
        <v>262.75</v>
      </c>
      <c r="K17" s="65">
        <v>3</v>
      </c>
      <c r="L17" s="71">
        <v>1.9</v>
      </c>
      <c r="M17" s="62"/>
      <c r="N17" s="3">
        <f t="shared" si="0"/>
        <v>788.25</v>
      </c>
      <c r="O17" s="3">
        <f t="shared" si="1"/>
        <v>788.25</v>
      </c>
      <c r="P17" s="74" t="s">
        <v>44</v>
      </c>
      <c r="Q17" s="17">
        <v>190408000</v>
      </c>
      <c r="R17" s="73" t="s">
        <v>45</v>
      </c>
      <c r="S17" s="14"/>
      <c r="T17" s="72" t="s">
        <v>46</v>
      </c>
    </row>
    <row r="18" spans="1:20" ht="25.5" customHeight="1">
      <c r="A18" s="23"/>
      <c r="B18" s="24"/>
      <c r="C18" s="24"/>
      <c r="D18" s="24"/>
      <c r="E18" s="24"/>
      <c r="F18" s="24"/>
      <c r="G18" s="24"/>
      <c r="H18" s="24"/>
      <c r="I18" s="24"/>
      <c r="J18" s="25"/>
      <c r="K18" s="24"/>
      <c r="L18" s="25"/>
      <c r="M18" s="24"/>
      <c r="N18" s="26">
        <f>SUM(N11:N17)</f>
        <v>25812.855</v>
      </c>
      <c r="O18" s="26">
        <f>SUM(O11:O17)</f>
        <v>25812.855</v>
      </c>
      <c r="P18" s="26"/>
      <c r="Q18" s="24"/>
      <c r="R18" s="27"/>
      <c r="S18" s="27"/>
    </row>
    <row r="19" spans="1:20" ht="15.75" customHeight="1">
      <c r="H19" s="2"/>
      <c r="I19" s="2"/>
    </row>
    <row r="20" spans="1:20" ht="15.75" customHeight="1">
      <c r="H20" s="2"/>
      <c r="I20" s="2"/>
    </row>
    <row r="21" spans="1:20" ht="15.75" customHeight="1">
      <c r="H21" s="2"/>
      <c r="I21" s="2"/>
    </row>
    <row r="22" spans="1:20" ht="15.75" customHeight="1">
      <c r="H22" s="2"/>
      <c r="I22" s="2"/>
    </row>
    <row r="23" spans="1:20" ht="15.75" customHeight="1">
      <c r="H23" s="2"/>
      <c r="I23" s="2"/>
    </row>
    <row r="24" spans="1:20" ht="15.75" customHeight="1">
      <c r="H24" s="2"/>
      <c r="I24" s="2"/>
    </row>
    <row r="25" spans="1:20" ht="15.75" customHeight="1">
      <c r="H25" s="2"/>
      <c r="I25" s="2"/>
    </row>
    <row r="26" spans="1:20" ht="15.75" customHeight="1">
      <c r="H26" s="2"/>
      <c r="I26" s="2"/>
    </row>
    <row r="27" spans="1:20" ht="15.75" customHeight="1">
      <c r="H27" s="2"/>
      <c r="I27" s="2"/>
    </row>
    <row r="28" spans="1:20" ht="15.75" customHeight="1">
      <c r="H28" s="2"/>
      <c r="I28" s="2"/>
    </row>
    <row r="29" spans="1:20" ht="15.75" customHeight="1">
      <c r="H29" s="2"/>
      <c r="I29" s="2"/>
    </row>
    <row r="30" spans="1:20" ht="15.75" customHeight="1">
      <c r="H30" s="2"/>
      <c r="I30" s="2"/>
    </row>
    <row r="31" spans="1:20" ht="15.75" customHeight="1">
      <c r="H31" s="2"/>
      <c r="I31" s="2"/>
    </row>
    <row r="32" spans="1:20" ht="15.75" customHeight="1">
      <c r="H32" s="2"/>
      <c r="I32" s="2"/>
    </row>
    <row r="33" spans="8:9" ht="15.75" customHeight="1">
      <c r="H33" s="2"/>
      <c r="I33" s="2"/>
    </row>
    <row r="34" spans="8:9" ht="15.75" customHeight="1">
      <c r="H34" s="2"/>
      <c r="I34" s="2"/>
    </row>
    <row r="35" spans="8:9" ht="15.75" customHeight="1">
      <c r="H35" s="2"/>
      <c r="I35" s="2"/>
    </row>
    <row r="36" spans="8:9" ht="15.75" customHeight="1">
      <c r="H36" s="2"/>
      <c r="I36" s="2"/>
    </row>
    <row r="37" spans="8:9" ht="15.75" customHeight="1">
      <c r="H37" s="2"/>
      <c r="I37" s="2"/>
    </row>
    <row r="38" spans="8:9" ht="15.75" customHeight="1">
      <c r="H38" s="2"/>
      <c r="I38" s="2"/>
    </row>
    <row r="39" spans="8:9" ht="15.75" customHeight="1">
      <c r="H39" s="2"/>
      <c r="I39" s="2"/>
    </row>
    <row r="40" spans="8:9" ht="15.75" customHeight="1">
      <c r="H40" s="2"/>
      <c r="I40" s="2"/>
    </row>
    <row r="41" spans="8:9" ht="15.75" customHeight="1">
      <c r="H41" s="2"/>
      <c r="I41" s="2"/>
    </row>
    <row r="42" spans="8:9" ht="15.75" customHeight="1">
      <c r="H42" s="2"/>
      <c r="I42" s="2"/>
    </row>
    <row r="43" spans="8:9" ht="15.75" customHeight="1">
      <c r="H43" s="2"/>
      <c r="I43" s="2"/>
    </row>
    <row r="44" spans="8:9" ht="15.75" customHeight="1">
      <c r="H44" s="2"/>
      <c r="I44" s="2"/>
    </row>
    <row r="45" spans="8:9" ht="15.75" customHeight="1">
      <c r="H45" s="2"/>
      <c r="I45" s="2"/>
    </row>
    <row r="46" spans="8:9" ht="15.75" customHeight="1">
      <c r="H46" s="2"/>
      <c r="I46" s="2"/>
    </row>
    <row r="47" spans="8:9" ht="15.75" customHeight="1">
      <c r="H47" s="2"/>
      <c r="I47" s="2"/>
    </row>
    <row r="48" spans="8:9" ht="15.75" customHeight="1">
      <c r="H48" s="2"/>
      <c r="I48" s="2"/>
    </row>
    <row r="49" spans="8:9" ht="15.75" customHeight="1">
      <c r="H49" s="2"/>
      <c r="I49" s="2"/>
    </row>
    <row r="50" spans="8:9" ht="15.75" customHeight="1">
      <c r="H50" s="2"/>
      <c r="I50" s="2"/>
    </row>
    <row r="51" spans="8:9" ht="15.75" customHeight="1">
      <c r="H51" s="2"/>
      <c r="I51" s="2"/>
    </row>
    <row r="52" spans="8:9" ht="15.75" customHeight="1">
      <c r="H52" s="2"/>
      <c r="I52" s="2"/>
    </row>
    <row r="53" spans="8:9" ht="15.75" customHeight="1">
      <c r="H53" s="2"/>
      <c r="I53" s="2"/>
    </row>
    <row r="54" spans="8:9" ht="15.75" customHeight="1">
      <c r="H54" s="2"/>
      <c r="I54" s="2"/>
    </row>
    <row r="55" spans="8:9" ht="15.75" customHeight="1">
      <c r="H55" s="2"/>
      <c r="I55" s="2"/>
    </row>
    <row r="56" spans="8:9" ht="15.75" customHeight="1">
      <c r="H56" s="2"/>
      <c r="I56" s="2"/>
    </row>
    <row r="57" spans="8:9" ht="15.75" customHeight="1">
      <c r="H57" s="2"/>
      <c r="I57" s="2"/>
    </row>
    <row r="58" spans="8:9" ht="15.75" customHeight="1">
      <c r="H58" s="2"/>
      <c r="I58" s="2"/>
    </row>
    <row r="59" spans="8:9" ht="15.75" customHeight="1">
      <c r="H59" s="2"/>
      <c r="I59" s="2"/>
    </row>
    <row r="60" spans="8:9" ht="15.75" customHeight="1">
      <c r="H60" s="2"/>
      <c r="I60" s="2"/>
    </row>
    <row r="61" spans="8:9" ht="15.75" customHeight="1">
      <c r="H61" s="2"/>
      <c r="I61" s="2"/>
    </row>
    <row r="62" spans="8:9" ht="15.75" customHeight="1">
      <c r="H62" s="2"/>
      <c r="I62" s="2"/>
    </row>
    <row r="63" spans="8:9" ht="15.75" customHeight="1">
      <c r="H63" s="2"/>
      <c r="I63" s="2"/>
    </row>
    <row r="64" spans="8:9" ht="15.75" customHeight="1">
      <c r="H64" s="2"/>
      <c r="I64" s="2"/>
    </row>
    <row r="65" spans="8:9" ht="15.75" customHeight="1">
      <c r="H65" s="2"/>
      <c r="I65" s="2"/>
    </row>
    <row r="66" spans="8:9" ht="15.75" customHeight="1">
      <c r="H66" s="2"/>
      <c r="I66" s="2"/>
    </row>
    <row r="67" spans="8:9" ht="15.75" customHeight="1">
      <c r="H67" s="2"/>
      <c r="I67" s="2"/>
    </row>
    <row r="68" spans="8:9" ht="15.75" customHeight="1">
      <c r="H68" s="2"/>
      <c r="I68" s="2"/>
    </row>
    <row r="69" spans="8:9" ht="15.75" customHeight="1">
      <c r="H69" s="2"/>
      <c r="I69" s="2"/>
    </row>
    <row r="70" spans="8:9" ht="15.75" customHeight="1">
      <c r="H70" s="2"/>
      <c r="I70" s="2"/>
    </row>
    <row r="71" spans="8:9" ht="15.75" customHeight="1">
      <c r="H71" s="2"/>
      <c r="I71" s="2"/>
    </row>
    <row r="72" spans="8:9" ht="15.75" customHeight="1">
      <c r="H72" s="2"/>
      <c r="I72" s="2"/>
    </row>
    <row r="73" spans="8:9" ht="15.75" customHeight="1">
      <c r="H73" s="2"/>
      <c r="I73" s="2"/>
    </row>
    <row r="74" spans="8:9" ht="15.75" customHeight="1">
      <c r="H74" s="2"/>
      <c r="I74" s="2"/>
    </row>
    <row r="75" spans="8:9" ht="15.75" customHeight="1">
      <c r="H75" s="2"/>
      <c r="I75" s="2"/>
    </row>
    <row r="76" spans="8:9" ht="15.75" customHeight="1">
      <c r="H76" s="2"/>
      <c r="I76" s="2"/>
    </row>
    <row r="77" spans="8:9" ht="15.75" customHeight="1">
      <c r="H77" s="2"/>
      <c r="I77" s="2"/>
    </row>
    <row r="78" spans="8:9" ht="15.75" customHeight="1">
      <c r="H78" s="2"/>
      <c r="I78" s="2"/>
    </row>
    <row r="79" spans="8:9" ht="15.75" customHeight="1">
      <c r="H79" s="2"/>
      <c r="I79" s="2"/>
    </row>
    <row r="80" spans="8:9" ht="15.75" customHeight="1">
      <c r="H80" s="2"/>
      <c r="I80" s="2"/>
    </row>
    <row r="81" spans="8:9" ht="15.75" customHeight="1">
      <c r="H81" s="2"/>
      <c r="I81" s="2"/>
    </row>
    <row r="82" spans="8:9" ht="15.75" customHeight="1">
      <c r="H82" s="2"/>
      <c r="I82" s="2"/>
    </row>
    <row r="83" spans="8:9" ht="15.75" customHeight="1">
      <c r="H83" s="2"/>
      <c r="I83" s="2"/>
    </row>
    <row r="84" spans="8:9" ht="15.75" customHeight="1">
      <c r="H84" s="2"/>
      <c r="I84" s="2"/>
    </row>
    <row r="85" spans="8:9" ht="15.75" customHeight="1">
      <c r="H85" s="2"/>
      <c r="I85" s="2"/>
    </row>
    <row r="86" spans="8:9" ht="15.75" customHeight="1">
      <c r="H86" s="2"/>
      <c r="I86" s="2"/>
    </row>
    <row r="87" spans="8:9" ht="15.75" customHeight="1">
      <c r="H87" s="2"/>
      <c r="I87" s="2"/>
    </row>
    <row r="88" spans="8:9" ht="15.75" customHeight="1">
      <c r="H88" s="2"/>
      <c r="I88" s="2"/>
    </row>
    <row r="89" spans="8:9" ht="15.75" customHeight="1">
      <c r="H89" s="2"/>
      <c r="I89" s="2"/>
    </row>
    <row r="90" spans="8:9" ht="15.75" customHeight="1"/>
    <row r="91" spans="8:9" ht="15.75" customHeight="1"/>
    <row r="92" spans="8:9" ht="15.75" customHeight="1"/>
    <row r="93" spans="8:9" ht="15.75" customHeight="1"/>
    <row r="94" spans="8:9" ht="15.75" customHeight="1"/>
    <row r="95" spans="8:9" ht="15.75" customHeight="1"/>
    <row r="96" spans="8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B10:T18" xr:uid="{00000000-0001-0000-0000-000000000000}"/>
  <mergeCells count="1">
    <mergeCell ref="B2:C5"/>
  </mergeCells>
  <phoneticPr fontId="1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2"/>
  <sheetViews>
    <sheetView topLeftCell="B328" workbookViewId="0">
      <selection activeCell="B362" sqref="B362:I362"/>
    </sheetView>
  </sheetViews>
  <sheetFormatPr defaultRowHeight="14.45"/>
  <cols>
    <col min="1" max="1" width="8.5703125" hidden="1" customWidth="1"/>
    <col min="3" max="3" width="25.42578125" customWidth="1"/>
    <col min="4" max="4" width="83" customWidth="1"/>
    <col min="5" max="5" width="7.42578125" customWidth="1"/>
    <col min="6" max="6" width="6.42578125" customWidth="1"/>
    <col min="7" max="7" width="14.5703125" customWidth="1"/>
    <col min="8" max="8" width="15.5703125" customWidth="1"/>
    <col min="9" max="9" width="11" bestFit="1" customWidth="1"/>
    <col min="10" max="10" width="14.85546875" bestFit="1" customWidth="1"/>
  </cols>
  <sheetData>
    <row r="1" spans="1:10" ht="39.6" thickBot="1">
      <c r="A1" s="5"/>
      <c r="B1" s="34" t="s">
        <v>47</v>
      </c>
      <c r="C1" s="35" t="s">
        <v>48</v>
      </c>
      <c r="D1" s="36" t="s">
        <v>49</v>
      </c>
      <c r="E1" s="36" t="s">
        <v>50</v>
      </c>
      <c r="F1" s="35" t="s">
        <v>51</v>
      </c>
      <c r="G1" s="37" t="s">
        <v>52</v>
      </c>
      <c r="H1" s="37" t="s">
        <v>53</v>
      </c>
      <c r="I1" s="37" t="s">
        <v>54</v>
      </c>
      <c r="J1" s="38" t="s">
        <v>55</v>
      </c>
    </row>
    <row r="2" spans="1:10" ht="26.1">
      <c r="A2" s="5"/>
      <c r="B2" s="39">
        <v>1</v>
      </c>
      <c r="C2" s="40" t="s">
        <v>56</v>
      </c>
      <c r="D2" s="41" t="s">
        <v>57</v>
      </c>
      <c r="E2" s="40" t="s">
        <v>58</v>
      </c>
      <c r="F2" s="40">
        <v>12</v>
      </c>
      <c r="G2" s="42">
        <v>82</v>
      </c>
      <c r="H2" s="42">
        <v>61.61</v>
      </c>
      <c r="I2" s="43">
        <v>143.61000000000001</v>
      </c>
      <c r="J2" s="44">
        <v>1723.3200000000002</v>
      </c>
    </row>
    <row r="3" spans="1:10">
      <c r="A3" s="5"/>
      <c r="B3" s="45">
        <v>2</v>
      </c>
      <c r="C3" s="46" t="s">
        <v>59</v>
      </c>
      <c r="D3" s="33" t="s">
        <v>60</v>
      </c>
      <c r="E3" s="46" t="s">
        <v>61</v>
      </c>
      <c r="F3" s="46">
        <v>20</v>
      </c>
      <c r="G3" s="42">
        <v>67.28</v>
      </c>
      <c r="H3" s="42">
        <v>18.32</v>
      </c>
      <c r="I3" s="43">
        <v>85.6</v>
      </c>
      <c r="J3" s="44">
        <v>1712</v>
      </c>
    </row>
    <row r="4" spans="1:10">
      <c r="A4" s="5"/>
      <c r="B4" s="47">
        <v>3</v>
      </c>
      <c r="C4" s="46" t="s">
        <v>62</v>
      </c>
      <c r="D4" s="33" t="s">
        <v>63</v>
      </c>
      <c r="E4" s="46" t="s">
        <v>58</v>
      </c>
      <c r="F4" s="46">
        <v>1000</v>
      </c>
      <c r="G4" s="42">
        <v>12</v>
      </c>
      <c r="H4" s="42"/>
      <c r="I4" s="43">
        <v>12</v>
      </c>
      <c r="J4" s="44">
        <v>12000</v>
      </c>
    </row>
    <row r="5" spans="1:10">
      <c r="A5" s="5"/>
      <c r="B5" s="45">
        <v>4</v>
      </c>
      <c r="C5" s="46" t="s">
        <v>64</v>
      </c>
      <c r="D5" s="33" t="s">
        <v>65</v>
      </c>
      <c r="E5" s="46" t="s">
        <v>58</v>
      </c>
      <c r="F5" s="46">
        <v>4000</v>
      </c>
      <c r="G5" s="42">
        <v>3.92</v>
      </c>
      <c r="H5" s="42"/>
      <c r="I5" s="43">
        <v>3.92</v>
      </c>
      <c r="J5" s="44">
        <v>15680</v>
      </c>
    </row>
    <row r="6" spans="1:10">
      <c r="A6" s="5"/>
      <c r="B6" s="47">
        <v>5</v>
      </c>
      <c r="C6" s="46" t="s">
        <v>66</v>
      </c>
      <c r="D6" s="33" t="s">
        <v>67</v>
      </c>
      <c r="E6" s="46" t="s">
        <v>58</v>
      </c>
      <c r="F6" s="46">
        <v>750</v>
      </c>
      <c r="G6" s="42"/>
      <c r="H6" s="42">
        <v>1.9</v>
      </c>
      <c r="I6" s="43">
        <v>1.9</v>
      </c>
      <c r="J6" s="44">
        <v>1425</v>
      </c>
    </row>
    <row r="7" spans="1:10">
      <c r="A7" s="5"/>
      <c r="B7" s="45">
        <v>6</v>
      </c>
      <c r="C7" s="46" t="s">
        <v>68</v>
      </c>
      <c r="D7" s="33" t="s">
        <v>69</v>
      </c>
      <c r="E7" s="46" t="s">
        <v>70</v>
      </c>
      <c r="F7" s="46">
        <v>50</v>
      </c>
      <c r="G7" s="42">
        <v>3.53</v>
      </c>
      <c r="H7" s="42">
        <v>15.64</v>
      </c>
      <c r="I7" s="43">
        <v>19.170000000000002</v>
      </c>
      <c r="J7" s="44">
        <v>958.50000000000011</v>
      </c>
    </row>
    <row r="8" spans="1:10">
      <c r="A8" s="5"/>
      <c r="B8" s="47">
        <v>7</v>
      </c>
      <c r="C8" s="46" t="s">
        <v>71</v>
      </c>
      <c r="D8" s="33" t="s">
        <v>72</v>
      </c>
      <c r="E8" s="46" t="s">
        <v>58</v>
      </c>
      <c r="F8" s="46">
        <v>90</v>
      </c>
      <c r="G8" s="42">
        <v>3.35</v>
      </c>
      <c r="H8" s="42">
        <v>15.66</v>
      </c>
      <c r="I8" s="43">
        <v>19.010000000000002</v>
      </c>
      <c r="J8" s="44">
        <v>1710.9</v>
      </c>
    </row>
    <row r="9" spans="1:10">
      <c r="A9" s="5"/>
      <c r="B9" s="45">
        <v>8</v>
      </c>
      <c r="C9" s="46" t="s">
        <v>73</v>
      </c>
      <c r="D9" s="33" t="s">
        <v>74</v>
      </c>
      <c r="E9" s="46" t="s">
        <v>58</v>
      </c>
      <c r="F9" s="46">
        <v>30</v>
      </c>
      <c r="G9" s="42">
        <v>0.74</v>
      </c>
      <c r="H9" s="42">
        <v>3.43</v>
      </c>
      <c r="I9" s="43">
        <v>4.17</v>
      </c>
      <c r="J9" s="44">
        <v>125.1</v>
      </c>
    </row>
    <row r="10" spans="1:10">
      <c r="A10" s="5"/>
      <c r="B10" s="47">
        <v>9</v>
      </c>
      <c r="C10" s="46" t="s">
        <v>75</v>
      </c>
      <c r="D10" s="33" t="s">
        <v>76</v>
      </c>
      <c r="E10" s="46" t="s">
        <v>70</v>
      </c>
      <c r="F10" s="46">
        <v>30</v>
      </c>
      <c r="G10" s="42"/>
      <c r="H10" s="42">
        <v>245.13</v>
      </c>
      <c r="I10" s="43">
        <v>245.13</v>
      </c>
      <c r="J10" s="44">
        <v>7353.9</v>
      </c>
    </row>
    <row r="11" spans="1:10">
      <c r="A11" s="5"/>
      <c r="B11" s="45">
        <v>10</v>
      </c>
      <c r="C11" s="46" t="s">
        <v>77</v>
      </c>
      <c r="D11" s="33" t="s">
        <v>78</v>
      </c>
      <c r="E11" s="46" t="s">
        <v>70</v>
      </c>
      <c r="F11" s="46">
        <v>30</v>
      </c>
      <c r="G11" s="42">
        <v>33.29</v>
      </c>
      <c r="H11" s="42">
        <v>119</v>
      </c>
      <c r="I11" s="43">
        <v>152.29</v>
      </c>
      <c r="J11" s="44">
        <v>4568.7</v>
      </c>
    </row>
    <row r="12" spans="1:10">
      <c r="A12" s="5"/>
      <c r="B12" s="47">
        <v>11</v>
      </c>
      <c r="C12" s="46" t="s">
        <v>79</v>
      </c>
      <c r="D12" s="33" t="s">
        <v>80</v>
      </c>
      <c r="E12" s="46" t="s">
        <v>58</v>
      </c>
      <c r="F12" s="46">
        <v>90</v>
      </c>
      <c r="G12" s="42">
        <v>1.97</v>
      </c>
      <c r="H12" s="42">
        <v>9.14</v>
      </c>
      <c r="I12" s="43">
        <v>11.110000000000001</v>
      </c>
      <c r="J12" s="44">
        <v>999.90000000000009</v>
      </c>
    </row>
    <row r="13" spans="1:10">
      <c r="A13" s="5"/>
      <c r="B13" s="45">
        <v>12</v>
      </c>
      <c r="C13" s="46" t="s">
        <v>81</v>
      </c>
      <c r="D13" s="33" t="s">
        <v>82</v>
      </c>
      <c r="E13" s="46" t="s">
        <v>58</v>
      </c>
      <c r="F13" s="46">
        <v>90</v>
      </c>
      <c r="G13" s="42">
        <v>1.1200000000000001</v>
      </c>
      <c r="H13" s="42">
        <v>5.26</v>
      </c>
      <c r="I13" s="43">
        <v>6.38</v>
      </c>
      <c r="J13" s="44">
        <v>574.20000000000005</v>
      </c>
    </row>
    <row r="14" spans="1:10">
      <c r="A14" s="5"/>
      <c r="B14" s="47">
        <v>13</v>
      </c>
      <c r="C14" s="46" t="s">
        <v>83</v>
      </c>
      <c r="D14" s="33" t="s">
        <v>84</v>
      </c>
      <c r="E14" s="46" t="s">
        <v>58</v>
      </c>
      <c r="F14" s="46">
        <v>90</v>
      </c>
      <c r="G14" s="42">
        <v>1.1200000000000001</v>
      </c>
      <c r="H14" s="42">
        <v>5.26</v>
      </c>
      <c r="I14" s="43">
        <v>6.38</v>
      </c>
      <c r="J14" s="44">
        <v>574.20000000000005</v>
      </c>
    </row>
    <row r="15" spans="1:10">
      <c r="A15" s="5"/>
      <c r="B15" s="45">
        <v>14</v>
      </c>
      <c r="C15" s="46" t="s">
        <v>85</v>
      </c>
      <c r="D15" s="33" t="s">
        <v>86</v>
      </c>
      <c r="E15" s="46" t="s">
        <v>58</v>
      </c>
      <c r="F15" s="46">
        <v>90</v>
      </c>
      <c r="G15" s="42">
        <v>25.74</v>
      </c>
      <c r="H15" s="42">
        <v>7.2</v>
      </c>
      <c r="I15" s="43">
        <v>32.94</v>
      </c>
      <c r="J15" s="44">
        <v>2964.6</v>
      </c>
    </row>
    <row r="16" spans="1:10">
      <c r="A16" s="5"/>
      <c r="B16" s="47">
        <v>15</v>
      </c>
      <c r="C16" s="46" t="s">
        <v>87</v>
      </c>
      <c r="D16" s="33" t="s">
        <v>88</v>
      </c>
      <c r="E16" s="46" t="s">
        <v>58</v>
      </c>
      <c r="F16" s="46">
        <v>90</v>
      </c>
      <c r="G16" s="42"/>
      <c r="H16" s="42">
        <v>9.5</v>
      </c>
      <c r="I16" s="43">
        <v>9.5</v>
      </c>
      <c r="J16" s="44">
        <v>855</v>
      </c>
    </row>
    <row r="17" spans="1:10">
      <c r="A17" s="5"/>
      <c r="B17" s="45">
        <v>16</v>
      </c>
      <c r="C17" s="46" t="s">
        <v>89</v>
      </c>
      <c r="D17" s="33" t="s">
        <v>90</v>
      </c>
      <c r="E17" s="46" t="s">
        <v>58</v>
      </c>
      <c r="F17" s="46">
        <v>90</v>
      </c>
      <c r="G17" s="42"/>
      <c r="H17" s="42">
        <v>8.4</v>
      </c>
      <c r="I17" s="43">
        <v>8.4</v>
      </c>
      <c r="J17" s="44">
        <v>756</v>
      </c>
    </row>
    <row r="18" spans="1:10">
      <c r="A18" s="5"/>
      <c r="B18" s="47">
        <v>17</v>
      </c>
      <c r="C18" s="46" t="s">
        <v>91</v>
      </c>
      <c r="D18" s="33" t="s">
        <v>92</v>
      </c>
      <c r="E18" s="46" t="s">
        <v>58</v>
      </c>
      <c r="F18" s="46">
        <v>80</v>
      </c>
      <c r="G18" s="42"/>
      <c r="H18" s="42">
        <v>4.22</v>
      </c>
      <c r="I18" s="43">
        <v>4.22</v>
      </c>
      <c r="J18" s="44">
        <v>337.59999999999997</v>
      </c>
    </row>
    <row r="19" spans="1:10">
      <c r="A19" s="5"/>
      <c r="B19" s="45">
        <v>18</v>
      </c>
      <c r="C19" s="46" t="s">
        <v>93</v>
      </c>
      <c r="D19" s="33" t="s">
        <v>94</v>
      </c>
      <c r="E19" s="46" t="s">
        <v>58</v>
      </c>
      <c r="F19" s="46">
        <v>90</v>
      </c>
      <c r="G19" s="42">
        <v>3.35</v>
      </c>
      <c r="H19" s="42">
        <v>15.66</v>
      </c>
      <c r="I19" s="43">
        <v>19.010000000000002</v>
      </c>
      <c r="J19" s="44">
        <v>1710.9</v>
      </c>
    </row>
    <row r="20" spans="1:10">
      <c r="A20" s="5"/>
      <c r="B20" s="47">
        <v>19</v>
      </c>
      <c r="C20" s="46" t="s">
        <v>95</v>
      </c>
      <c r="D20" s="33" t="s">
        <v>96</v>
      </c>
      <c r="E20" s="46" t="s">
        <v>58</v>
      </c>
      <c r="F20" s="46">
        <v>90</v>
      </c>
      <c r="G20" s="42">
        <v>1.97</v>
      </c>
      <c r="H20" s="42">
        <v>9.14</v>
      </c>
      <c r="I20" s="43">
        <v>11.110000000000001</v>
      </c>
      <c r="J20" s="44">
        <v>999.90000000000009</v>
      </c>
    </row>
    <row r="21" spans="1:10">
      <c r="A21" s="5"/>
      <c r="B21" s="45">
        <v>20</v>
      </c>
      <c r="C21" s="46" t="s">
        <v>97</v>
      </c>
      <c r="D21" s="33" t="s">
        <v>98</v>
      </c>
      <c r="E21" s="46" t="s">
        <v>58</v>
      </c>
      <c r="F21" s="46">
        <v>80</v>
      </c>
      <c r="G21" s="42">
        <v>1.97</v>
      </c>
      <c r="H21" s="42">
        <v>10.74</v>
      </c>
      <c r="I21" s="43">
        <v>12.71</v>
      </c>
      <c r="J21" s="44">
        <v>1016.8000000000001</v>
      </c>
    </row>
    <row r="22" spans="1:10">
      <c r="A22" s="5"/>
      <c r="B22" s="47">
        <v>21</v>
      </c>
      <c r="C22" s="46" t="s">
        <v>99</v>
      </c>
      <c r="D22" s="33" t="s">
        <v>100</v>
      </c>
      <c r="E22" s="46" t="s">
        <v>58</v>
      </c>
      <c r="F22" s="46">
        <v>80</v>
      </c>
      <c r="G22" s="42">
        <v>3.35</v>
      </c>
      <c r="H22" s="42">
        <v>15.68</v>
      </c>
      <c r="I22" s="43">
        <v>19.03</v>
      </c>
      <c r="J22" s="44">
        <v>1522.4</v>
      </c>
    </row>
    <row r="23" spans="1:10">
      <c r="A23" s="5"/>
      <c r="B23" s="45">
        <v>22</v>
      </c>
      <c r="C23" s="46" t="s">
        <v>101</v>
      </c>
      <c r="D23" s="33" t="s">
        <v>102</v>
      </c>
      <c r="E23" s="46" t="s">
        <v>58</v>
      </c>
      <c r="F23" s="46">
        <v>90</v>
      </c>
      <c r="G23" s="42">
        <v>2.6</v>
      </c>
      <c r="H23" s="42">
        <v>6.12</v>
      </c>
      <c r="I23" s="43">
        <v>8.7200000000000006</v>
      </c>
      <c r="J23" s="44">
        <v>784.80000000000007</v>
      </c>
    </row>
    <row r="24" spans="1:10">
      <c r="A24" s="5"/>
      <c r="B24" s="47">
        <v>23</v>
      </c>
      <c r="C24" s="46" t="s">
        <v>103</v>
      </c>
      <c r="D24" s="33" t="s">
        <v>104</v>
      </c>
      <c r="E24" s="46" t="s">
        <v>58</v>
      </c>
      <c r="F24" s="46">
        <v>80</v>
      </c>
      <c r="G24" s="42">
        <v>2.8</v>
      </c>
      <c r="H24" s="42">
        <v>13.05</v>
      </c>
      <c r="I24" s="43">
        <v>15.850000000000001</v>
      </c>
      <c r="J24" s="44">
        <v>1268</v>
      </c>
    </row>
    <row r="25" spans="1:10">
      <c r="A25" s="5"/>
      <c r="B25" s="45">
        <v>24</v>
      </c>
      <c r="C25" s="46" t="s">
        <v>105</v>
      </c>
      <c r="D25" s="33" t="s">
        <v>106</v>
      </c>
      <c r="E25" s="46" t="s">
        <v>58</v>
      </c>
      <c r="F25" s="46">
        <v>80</v>
      </c>
      <c r="G25" s="42"/>
      <c r="H25" s="42">
        <v>3.44</v>
      </c>
      <c r="I25" s="43">
        <v>3.44</v>
      </c>
      <c r="J25" s="44">
        <v>275.2</v>
      </c>
    </row>
    <row r="26" spans="1:10">
      <c r="A26" s="5"/>
      <c r="B26" s="47">
        <v>25</v>
      </c>
      <c r="C26" s="46" t="s">
        <v>107</v>
      </c>
      <c r="D26" s="33" t="s">
        <v>108</v>
      </c>
      <c r="E26" s="46" t="s">
        <v>61</v>
      </c>
      <c r="F26" s="46">
        <v>80</v>
      </c>
      <c r="G26" s="42">
        <v>2.42</v>
      </c>
      <c r="H26" s="42">
        <v>5.75</v>
      </c>
      <c r="I26" s="43">
        <v>8.17</v>
      </c>
      <c r="J26" s="44">
        <v>653.6</v>
      </c>
    </row>
    <row r="27" spans="1:10">
      <c r="A27" s="5"/>
      <c r="B27" s="45">
        <v>26</v>
      </c>
      <c r="C27" s="46" t="s">
        <v>109</v>
      </c>
      <c r="D27" s="33" t="s">
        <v>110</v>
      </c>
      <c r="E27" s="46" t="s">
        <v>61</v>
      </c>
      <c r="F27" s="46">
        <v>80</v>
      </c>
      <c r="G27" s="42">
        <v>2.42</v>
      </c>
      <c r="H27" s="42">
        <v>5.75</v>
      </c>
      <c r="I27" s="43">
        <v>8.17</v>
      </c>
      <c r="J27" s="44">
        <v>653.6</v>
      </c>
    </row>
    <row r="28" spans="1:10">
      <c r="A28" s="5"/>
      <c r="B28" s="47">
        <v>27</v>
      </c>
      <c r="C28" s="46" t="s">
        <v>111</v>
      </c>
      <c r="D28" s="33" t="s">
        <v>112</v>
      </c>
      <c r="E28" s="46" t="s">
        <v>58</v>
      </c>
      <c r="F28" s="46">
        <v>80</v>
      </c>
      <c r="G28" s="42">
        <v>34.869999999999997</v>
      </c>
      <c r="H28" s="42">
        <v>6.7</v>
      </c>
      <c r="I28" s="43">
        <v>41.57</v>
      </c>
      <c r="J28" s="44">
        <v>3325.6</v>
      </c>
    </row>
    <row r="29" spans="1:10">
      <c r="A29" s="5"/>
      <c r="B29" s="45">
        <v>28</v>
      </c>
      <c r="C29" s="46" t="s">
        <v>113</v>
      </c>
      <c r="D29" s="33" t="s">
        <v>114</v>
      </c>
      <c r="E29" s="46" t="s">
        <v>58</v>
      </c>
      <c r="F29" s="46">
        <v>80</v>
      </c>
      <c r="G29" s="42"/>
      <c r="H29" s="42">
        <v>2.79</v>
      </c>
      <c r="I29" s="43">
        <v>2.79</v>
      </c>
      <c r="J29" s="44">
        <v>223.2</v>
      </c>
    </row>
    <row r="30" spans="1:10">
      <c r="A30" s="5"/>
      <c r="B30" s="47">
        <v>29</v>
      </c>
      <c r="C30" s="46" t="s">
        <v>115</v>
      </c>
      <c r="D30" s="33" t="s">
        <v>116</v>
      </c>
      <c r="E30" s="46" t="s">
        <v>58</v>
      </c>
      <c r="F30" s="46">
        <v>80</v>
      </c>
      <c r="G30" s="42">
        <v>9.0500000000000007</v>
      </c>
      <c r="H30" s="42">
        <v>25.07</v>
      </c>
      <c r="I30" s="43">
        <v>34.120000000000005</v>
      </c>
      <c r="J30" s="44">
        <v>2729.6000000000004</v>
      </c>
    </row>
    <row r="31" spans="1:10">
      <c r="A31" s="5"/>
      <c r="B31" s="45">
        <v>30</v>
      </c>
      <c r="C31" s="46" t="s">
        <v>117</v>
      </c>
      <c r="D31" s="33" t="s">
        <v>118</v>
      </c>
      <c r="E31" s="46" t="s">
        <v>61</v>
      </c>
      <c r="F31" s="46">
        <v>90</v>
      </c>
      <c r="G31" s="42">
        <v>3.74</v>
      </c>
      <c r="H31" s="42">
        <v>9.66</v>
      </c>
      <c r="I31" s="43">
        <v>13.4</v>
      </c>
      <c r="J31" s="44">
        <v>1206</v>
      </c>
    </row>
    <row r="32" spans="1:10">
      <c r="A32" s="5"/>
      <c r="B32" s="47">
        <v>31</v>
      </c>
      <c r="C32" s="46" t="s">
        <v>119</v>
      </c>
      <c r="D32" s="33" t="s">
        <v>120</v>
      </c>
      <c r="E32" s="46" t="s">
        <v>58</v>
      </c>
      <c r="F32" s="46">
        <v>90</v>
      </c>
      <c r="G32" s="42">
        <v>3.39</v>
      </c>
      <c r="H32" s="42">
        <v>5.73</v>
      </c>
      <c r="I32" s="43">
        <v>9.120000000000001</v>
      </c>
      <c r="J32" s="44">
        <v>820.80000000000007</v>
      </c>
    </row>
    <row r="33" spans="1:10">
      <c r="A33" s="5"/>
      <c r="B33" s="45">
        <v>32</v>
      </c>
      <c r="C33" s="46" t="s">
        <v>121</v>
      </c>
      <c r="D33" s="33" t="s">
        <v>122</v>
      </c>
      <c r="E33" s="46" t="s">
        <v>58</v>
      </c>
      <c r="F33" s="46">
        <v>90</v>
      </c>
      <c r="G33" s="42">
        <v>0.78</v>
      </c>
      <c r="H33" s="42">
        <v>3.44</v>
      </c>
      <c r="I33" s="43">
        <v>4.22</v>
      </c>
      <c r="J33" s="44">
        <v>379.79999999999995</v>
      </c>
    </row>
    <row r="34" spans="1:10">
      <c r="A34" s="5"/>
      <c r="B34" s="47">
        <v>33</v>
      </c>
      <c r="C34" s="46" t="s">
        <v>123</v>
      </c>
      <c r="D34" s="33" t="s">
        <v>124</v>
      </c>
      <c r="E34" s="46" t="s">
        <v>58</v>
      </c>
      <c r="F34" s="46">
        <v>90</v>
      </c>
      <c r="G34" s="42">
        <v>1.52</v>
      </c>
      <c r="H34" s="42">
        <v>6.88</v>
      </c>
      <c r="I34" s="43">
        <v>8.4</v>
      </c>
      <c r="J34" s="44">
        <v>756</v>
      </c>
    </row>
    <row r="35" spans="1:10">
      <c r="A35" s="5"/>
      <c r="B35" s="45">
        <v>34</v>
      </c>
      <c r="C35" s="46" t="s">
        <v>125</v>
      </c>
      <c r="D35" s="33" t="s">
        <v>126</v>
      </c>
      <c r="E35" s="46" t="s">
        <v>58</v>
      </c>
      <c r="F35" s="46">
        <v>76</v>
      </c>
      <c r="G35" s="42">
        <v>2.2400000000000002</v>
      </c>
      <c r="H35" s="42">
        <v>10.46</v>
      </c>
      <c r="I35" s="43">
        <v>12.700000000000001</v>
      </c>
      <c r="J35" s="44">
        <v>965.2</v>
      </c>
    </row>
    <row r="36" spans="1:10">
      <c r="A36" s="5"/>
      <c r="B36" s="47">
        <v>35</v>
      </c>
      <c r="C36" s="46" t="s">
        <v>127</v>
      </c>
      <c r="D36" s="33" t="s">
        <v>128</v>
      </c>
      <c r="E36" s="46" t="s">
        <v>58</v>
      </c>
      <c r="F36" s="46">
        <v>80</v>
      </c>
      <c r="G36" s="42">
        <v>0.8</v>
      </c>
      <c r="H36" s="42">
        <v>1.1399999999999999</v>
      </c>
      <c r="I36" s="43">
        <v>1.94</v>
      </c>
      <c r="J36" s="44">
        <v>155.19999999999999</v>
      </c>
    </row>
    <row r="37" spans="1:10">
      <c r="A37" s="5"/>
      <c r="B37" s="45">
        <v>36</v>
      </c>
      <c r="C37" s="46" t="s">
        <v>129</v>
      </c>
      <c r="D37" s="33" t="s">
        <v>130</v>
      </c>
      <c r="E37" s="46" t="s">
        <v>58</v>
      </c>
      <c r="F37" s="46">
        <v>80</v>
      </c>
      <c r="G37" s="42">
        <v>1.1000000000000001</v>
      </c>
      <c r="H37" s="42">
        <v>2.4</v>
      </c>
      <c r="I37" s="43">
        <v>3.5</v>
      </c>
      <c r="J37" s="44">
        <v>280</v>
      </c>
    </row>
    <row r="38" spans="1:10">
      <c r="A38" s="5"/>
      <c r="B38" s="47">
        <v>37</v>
      </c>
      <c r="C38" s="46" t="s">
        <v>131</v>
      </c>
      <c r="D38" s="33" t="s">
        <v>132</v>
      </c>
      <c r="E38" s="46" t="s">
        <v>70</v>
      </c>
      <c r="F38" s="46">
        <v>80</v>
      </c>
      <c r="G38" s="42">
        <v>75.150000000000006</v>
      </c>
      <c r="H38" s="42">
        <v>18.25</v>
      </c>
      <c r="I38" s="43">
        <v>93.4</v>
      </c>
      <c r="J38" s="44">
        <v>7472</v>
      </c>
    </row>
    <row r="39" spans="1:10">
      <c r="A39" s="5"/>
      <c r="B39" s="45">
        <v>38</v>
      </c>
      <c r="C39" s="46" t="s">
        <v>133</v>
      </c>
      <c r="D39" s="33" t="s">
        <v>134</v>
      </c>
      <c r="E39" s="46" t="s">
        <v>70</v>
      </c>
      <c r="F39" s="46">
        <v>90</v>
      </c>
      <c r="G39" s="42">
        <v>83.61</v>
      </c>
      <c r="H39" s="42">
        <v>18.25</v>
      </c>
      <c r="I39" s="43">
        <v>101.86</v>
      </c>
      <c r="J39" s="44">
        <v>9167.4</v>
      </c>
    </row>
    <row r="40" spans="1:10">
      <c r="A40" s="5"/>
      <c r="B40" s="47">
        <v>39</v>
      </c>
      <c r="C40" s="46" t="s">
        <v>135</v>
      </c>
      <c r="D40" s="33" t="s">
        <v>136</v>
      </c>
      <c r="E40" s="46" t="s">
        <v>58</v>
      </c>
      <c r="F40" s="46">
        <v>90</v>
      </c>
      <c r="G40" s="42">
        <v>73.14</v>
      </c>
      <c r="H40" s="42">
        <v>48.78</v>
      </c>
      <c r="I40" s="43">
        <v>121.92</v>
      </c>
      <c r="J40" s="44">
        <v>10972.8</v>
      </c>
    </row>
    <row r="41" spans="1:10">
      <c r="A41" s="5"/>
      <c r="B41" s="45">
        <v>40</v>
      </c>
      <c r="C41" s="46" t="s">
        <v>137</v>
      </c>
      <c r="D41" s="33" t="s">
        <v>28</v>
      </c>
      <c r="E41" s="46" t="s">
        <v>70</v>
      </c>
      <c r="F41" s="46">
        <v>80</v>
      </c>
      <c r="G41" s="42">
        <v>7.7</v>
      </c>
      <c r="H41" s="42">
        <v>34.4</v>
      </c>
      <c r="I41" s="43">
        <v>42.1</v>
      </c>
      <c r="J41" s="44">
        <v>3368</v>
      </c>
    </row>
    <row r="42" spans="1:10">
      <c r="A42" s="5"/>
      <c r="B42" s="47">
        <v>41</v>
      </c>
      <c r="C42" s="46" t="s">
        <v>138</v>
      </c>
      <c r="D42" s="33" t="s">
        <v>139</v>
      </c>
      <c r="E42" s="46" t="s">
        <v>70</v>
      </c>
      <c r="F42" s="46">
        <v>80</v>
      </c>
      <c r="G42" s="42">
        <v>7.33</v>
      </c>
      <c r="H42" s="42">
        <v>0.84</v>
      </c>
      <c r="I42" s="43">
        <v>8.17</v>
      </c>
      <c r="J42" s="44">
        <v>653.6</v>
      </c>
    </row>
    <row r="43" spans="1:10" ht="26.1">
      <c r="A43" s="5"/>
      <c r="B43" s="45">
        <v>42</v>
      </c>
      <c r="C43" s="46" t="s">
        <v>140</v>
      </c>
      <c r="D43" s="33" t="s">
        <v>141</v>
      </c>
      <c r="E43" s="46" t="s">
        <v>70</v>
      </c>
      <c r="F43" s="46">
        <v>90</v>
      </c>
      <c r="G43" s="42">
        <v>2.95</v>
      </c>
      <c r="H43" s="42">
        <v>6.92</v>
      </c>
      <c r="I43" s="43">
        <v>9.870000000000001</v>
      </c>
      <c r="J43" s="44">
        <v>888.30000000000007</v>
      </c>
    </row>
    <row r="44" spans="1:10">
      <c r="A44" s="5"/>
      <c r="B44" s="47">
        <v>43</v>
      </c>
      <c r="C44" s="46" t="s">
        <v>142</v>
      </c>
      <c r="D44" s="33" t="s">
        <v>34</v>
      </c>
      <c r="E44" s="46" t="s">
        <v>70</v>
      </c>
      <c r="F44" s="46">
        <v>40</v>
      </c>
      <c r="G44" s="42">
        <v>3.03</v>
      </c>
      <c r="H44" s="42">
        <v>8.59</v>
      </c>
      <c r="I44" s="43">
        <v>11.62</v>
      </c>
      <c r="J44" s="44">
        <v>464.79999999999995</v>
      </c>
    </row>
    <row r="45" spans="1:10">
      <c r="A45" s="5"/>
      <c r="B45" s="45">
        <v>44</v>
      </c>
      <c r="C45" s="46" t="s">
        <v>143</v>
      </c>
      <c r="D45" s="33" t="s">
        <v>144</v>
      </c>
      <c r="E45" s="46" t="s">
        <v>70</v>
      </c>
      <c r="F45" s="46">
        <v>40</v>
      </c>
      <c r="G45" s="42">
        <v>2.4</v>
      </c>
      <c r="H45" s="42">
        <v>0.91</v>
      </c>
      <c r="I45" s="43">
        <v>3.31</v>
      </c>
      <c r="J45" s="44">
        <v>132.4</v>
      </c>
    </row>
    <row r="46" spans="1:10">
      <c r="A46" s="5"/>
      <c r="B46" s="47">
        <v>45</v>
      </c>
      <c r="C46" s="46" t="s">
        <v>145</v>
      </c>
      <c r="D46" s="33" t="s">
        <v>146</v>
      </c>
      <c r="E46" s="46" t="s">
        <v>70</v>
      </c>
      <c r="F46" s="46">
        <v>10</v>
      </c>
      <c r="G46" s="42">
        <v>5.3</v>
      </c>
      <c r="H46" s="42">
        <v>9.94</v>
      </c>
      <c r="I46" s="43">
        <v>15.239999999999998</v>
      </c>
      <c r="J46" s="44">
        <v>152.39999999999998</v>
      </c>
    </row>
    <row r="47" spans="1:10">
      <c r="A47" s="5"/>
      <c r="B47" s="45">
        <v>46</v>
      </c>
      <c r="C47" s="46" t="s">
        <v>147</v>
      </c>
      <c r="D47" s="33" t="s">
        <v>148</v>
      </c>
      <c r="E47" s="46" t="s">
        <v>70</v>
      </c>
      <c r="F47" s="46">
        <v>10</v>
      </c>
      <c r="G47" s="42">
        <v>34.83</v>
      </c>
      <c r="H47" s="42">
        <v>7.45</v>
      </c>
      <c r="I47" s="43">
        <v>42.28</v>
      </c>
      <c r="J47" s="44">
        <v>422.8</v>
      </c>
    </row>
    <row r="48" spans="1:10">
      <c r="A48" s="5"/>
      <c r="B48" s="47">
        <v>47</v>
      </c>
      <c r="C48" s="46" t="s">
        <v>149</v>
      </c>
      <c r="D48" s="33" t="s">
        <v>150</v>
      </c>
      <c r="E48" s="46" t="s">
        <v>58</v>
      </c>
      <c r="F48" s="46">
        <v>10</v>
      </c>
      <c r="G48" s="42">
        <v>47.02</v>
      </c>
      <c r="H48" s="42">
        <v>12.15</v>
      </c>
      <c r="I48" s="43">
        <v>59.17</v>
      </c>
      <c r="J48" s="44">
        <v>591.70000000000005</v>
      </c>
    </row>
    <row r="49" spans="1:10">
      <c r="A49" s="5"/>
      <c r="B49" s="45">
        <v>48</v>
      </c>
      <c r="C49" s="46" t="s">
        <v>151</v>
      </c>
      <c r="D49" s="33" t="s">
        <v>152</v>
      </c>
      <c r="E49" s="46" t="s">
        <v>58</v>
      </c>
      <c r="F49" s="46">
        <v>10</v>
      </c>
      <c r="G49" s="42"/>
      <c r="H49" s="42">
        <v>4.24</v>
      </c>
      <c r="I49" s="43">
        <v>4.24</v>
      </c>
      <c r="J49" s="44">
        <v>42.400000000000006</v>
      </c>
    </row>
    <row r="50" spans="1:10">
      <c r="A50" s="5"/>
      <c r="B50" s="47">
        <v>49</v>
      </c>
      <c r="C50" s="46" t="s">
        <v>153</v>
      </c>
      <c r="D50" s="33" t="s">
        <v>154</v>
      </c>
      <c r="E50" s="46" t="s">
        <v>58</v>
      </c>
      <c r="F50" s="46">
        <v>40</v>
      </c>
      <c r="G50" s="42">
        <v>1.21</v>
      </c>
      <c r="H50" s="42">
        <v>1.96</v>
      </c>
      <c r="I50" s="43">
        <v>3.17</v>
      </c>
      <c r="J50" s="44">
        <v>126.8</v>
      </c>
    </row>
    <row r="51" spans="1:10" ht="26.1">
      <c r="A51" s="5"/>
      <c r="B51" s="45">
        <v>50</v>
      </c>
      <c r="C51" s="46" t="s">
        <v>155</v>
      </c>
      <c r="D51" s="33" t="s">
        <v>156</v>
      </c>
      <c r="E51" s="46" t="s">
        <v>70</v>
      </c>
      <c r="F51" s="46">
        <v>10</v>
      </c>
      <c r="G51" s="42">
        <v>200.46</v>
      </c>
      <c r="H51" s="42">
        <v>185.6</v>
      </c>
      <c r="I51" s="43">
        <v>386.06</v>
      </c>
      <c r="J51" s="44">
        <v>3860.6</v>
      </c>
    </row>
    <row r="52" spans="1:10" ht="26.1">
      <c r="A52" s="5"/>
      <c r="B52" s="47">
        <v>51</v>
      </c>
      <c r="C52" s="46" t="s">
        <v>157</v>
      </c>
      <c r="D52" s="33" t="s">
        <v>158</v>
      </c>
      <c r="E52" s="46" t="s">
        <v>159</v>
      </c>
      <c r="F52" s="46">
        <v>2</v>
      </c>
      <c r="G52" s="42">
        <v>182.79</v>
      </c>
      <c r="H52" s="42">
        <v>86.79</v>
      </c>
      <c r="I52" s="43">
        <v>269.58</v>
      </c>
      <c r="J52" s="44">
        <v>539.16</v>
      </c>
    </row>
    <row r="53" spans="1:10">
      <c r="A53" s="5"/>
      <c r="B53" s="45">
        <v>52</v>
      </c>
      <c r="C53" s="46" t="s">
        <v>160</v>
      </c>
      <c r="D53" s="33" t="s">
        <v>161</v>
      </c>
      <c r="E53" s="46" t="s">
        <v>159</v>
      </c>
      <c r="F53" s="46">
        <v>2</v>
      </c>
      <c r="G53" s="42">
        <v>340</v>
      </c>
      <c r="H53" s="42">
        <v>126</v>
      </c>
      <c r="I53" s="43">
        <v>466</v>
      </c>
      <c r="J53" s="44">
        <v>932</v>
      </c>
    </row>
    <row r="54" spans="1:10">
      <c r="A54" s="5"/>
      <c r="B54" s="47">
        <v>53</v>
      </c>
      <c r="C54" s="46" t="s">
        <v>162</v>
      </c>
      <c r="D54" s="33" t="s">
        <v>163</v>
      </c>
      <c r="E54" s="46" t="s">
        <v>58</v>
      </c>
      <c r="F54" s="46">
        <v>10</v>
      </c>
      <c r="G54" s="42">
        <v>4.96</v>
      </c>
      <c r="H54" s="42">
        <v>2.02</v>
      </c>
      <c r="I54" s="43">
        <v>6.98</v>
      </c>
      <c r="J54" s="44">
        <v>69.800000000000011</v>
      </c>
    </row>
    <row r="55" spans="1:10">
      <c r="A55" s="5"/>
      <c r="B55" s="45">
        <v>54</v>
      </c>
      <c r="C55" s="46" t="s">
        <v>164</v>
      </c>
      <c r="D55" s="33" t="s">
        <v>165</v>
      </c>
      <c r="E55" s="46" t="s">
        <v>70</v>
      </c>
      <c r="F55" s="46">
        <v>10</v>
      </c>
      <c r="G55" s="42">
        <v>64</v>
      </c>
      <c r="H55" s="42">
        <v>40</v>
      </c>
      <c r="I55" s="43">
        <v>104</v>
      </c>
      <c r="J55" s="44">
        <v>1040</v>
      </c>
    </row>
    <row r="56" spans="1:10" ht="39">
      <c r="A56" s="5"/>
      <c r="B56" s="47">
        <v>55</v>
      </c>
      <c r="C56" s="46" t="s">
        <v>166</v>
      </c>
      <c r="D56" s="33" t="s">
        <v>167</v>
      </c>
      <c r="E56" s="46" t="s">
        <v>159</v>
      </c>
      <c r="F56" s="46">
        <v>2</v>
      </c>
      <c r="G56" s="42">
        <v>257.3</v>
      </c>
      <c r="H56" s="42">
        <v>125.78</v>
      </c>
      <c r="I56" s="43">
        <v>383.08000000000004</v>
      </c>
      <c r="J56" s="44">
        <v>766.16000000000008</v>
      </c>
    </row>
    <row r="57" spans="1:10">
      <c r="A57" s="5"/>
      <c r="B57" s="45">
        <v>56</v>
      </c>
      <c r="C57" s="46" t="s">
        <v>168</v>
      </c>
      <c r="D57" s="33" t="s">
        <v>169</v>
      </c>
      <c r="E57" s="46" t="s">
        <v>159</v>
      </c>
      <c r="F57" s="46">
        <v>12</v>
      </c>
      <c r="G57" s="42">
        <v>80</v>
      </c>
      <c r="H57" s="42">
        <v>35.92</v>
      </c>
      <c r="I57" s="43">
        <v>115.92</v>
      </c>
      <c r="J57" s="44">
        <v>1391.04</v>
      </c>
    </row>
    <row r="58" spans="1:10" ht="26.1">
      <c r="A58" s="5"/>
      <c r="B58" s="47">
        <v>57</v>
      </c>
      <c r="C58" s="46" t="s">
        <v>170</v>
      </c>
      <c r="D58" s="33" t="s">
        <v>171</v>
      </c>
      <c r="E58" s="46" t="s">
        <v>61</v>
      </c>
      <c r="F58" s="46">
        <v>10</v>
      </c>
      <c r="G58" s="42">
        <v>44.81</v>
      </c>
      <c r="H58" s="42">
        <v>21.92</v>
      </c>
      <c r="I58" s="43">
        <v>66.73</v>
      </c>
      <c r="J58" s="44">
        <v>667.30000000000007</v>
      </c>
    </row>
    <row r="59" spans="1:10">
      <c r="A59" s="5"/>
      <c r="B59" s="45">
        <v>58</v>
      </c>
      <c r="C59" s="46" t="s">
        <v>172</v>
      </c>
      <c r="D59" s="33" t="s">
        <v>173</v>
      </c>
      <c r="E59" s="46" t="s">
        <v>58</v>
      </c>
      <c r="F59" s="46">
        <v>20</v>
      </c>
      <c r="G59" s="42">
        <v>67.89</v>
      </c>
      <c r="H59" s="42">
        <v>24.8</v>
      </c>
      <c r="I59" s="43">
        <v>92.69</v>
      </c>
      <c r="J59" s="44">
        <v>1853.8</v>
      </c>
    </row>
    <row r="60" spans="1:10">
      <c r="A60" s="5"/>
      <c r="B60" s="47">
        <v>59</v>
      </c>
      <c r="C60" s="46" t="s">
        <v>174</v>
      </c>
      <c r="D60" s="33" t="s">
        <v>175</v>
      </c>
      <c r="E60" s="46" t="s">
        <v>61</v>
      </c>
      <c r="F60" s="46">
        <v>20</v>
      </c>
      <c r="G60" s="42">
        <v>29.41</v>
      </c>
      <c r="H60" s="42">
        <v>9.7799999999999994</v>
      </c>
      <c r="I60" s="43">
        <v>39.19</v>
      </c>
      <c r="J60" s="44">
        <v>783.8</v>
      </c>
    </row>
    <row r="61" spans="1:10">
      <c r="A61" s="5"/>
      <c r="B61" s="45">
        <v>60</v>
      </c>
      <c r="C61" s="46" t="s">
        <v>176</v>
      </c>
      <c r="D61" s="33" t="s">
        <v>177</v>
      </c>
      <c r="E61" s="46" t="s">
        <v>61</v>
      </c>
      <c r="F61" s="46">
        <v>20</v>
      </c>
      <c r="G61" s="42">
        <v>59.02</v>
      </c>
      <c r="H61" s="42">
        <v>14.73</v>
      </c>
      <c r="I61" s="43">
        <v>73.75</v>
      </c>
      <c r="J61" s="44">
        <v>1475</v>
      </c>
    </row>
    <row r="62" spans="1:10">
      <c r="A62" s="5"/>
      <c r="B62" s="47">
        <v>61</v>
      </c>
      <c r="C62" s="46" t="s">
        <v>178</v>
      </c>
      <c r="D62" s="33" t="s">
        <v>179</v>
      </c>
      <c r="E62" s="46" t="s">
        <v>61</v>
      </c>
      <c r="F62" s="46">
        <v>20</v>
      </c>
      <c r="G62" s="42">
        <v>43.87</v>
      </c>
      <c r="H62" s="42">
        <v>16.739999999999998</v>
      </c>
      <c r="I62" s="43">
        <v>60.61</v>
      </c>
      <c r="J62" s="44">
        <v>1212.2</v>
      </c>
    </row>
    <row r="63" spans="1:10">
      <c r="A63" s="5"/>
      <c r="B63" s="45">
        <v>62</v>
      </c>
      <c r="C63" s="46" t="s">
        <v>180</v>
      </c>
      <c r="D63" s="33" t="s">
        <v>181</v>
      </c>
      <c r="E63" s="46" t="s">
        <v>61</v>
      </c>
      <c r="F63" s="46">
        <v>20</v>
      </c>
      <c r="G63" s="42">
        <v>73.16</v>
      </c>
      <c r="H63" s="42">
        <v>25.45</v>
      </c>
      <c r="I63" s="43">
        <v>98.61</v>
      </c>
      <c r="J63" s="44">
        <v>1972.2</v>
      </c>
    </row>
    <row r="64" spans="1:10">
      <c r="A64" s="5"/>
      <c r="B64" s="47">
        <v>63</v>
      </c>
      <c r="C64" s="46" t="s">
        <v>182</v>
      </c>
      <c r="D64" s="33" t="s">
        <v>183</v>
      </c>
      <c r="E64" s="46" t="s">
        <v>58</v>
      </c>
      <c r="F64" s="46">
        <v>40</v>
      </c>
      <c r="G64" s="42">
        <v>20.8</v>
      </c>
      <c r="H64" s="42">
        <v>8.26</v>
      </c>
      <c r="I64" s="43">
        <v>29.060000000000002</v>
      </c>
      <c r="J64" s="44">
        <v>1162.4000000000001</v>
      </c>
    </row>
    <row r="65" spans="1:10">
      <c r="A65" s="5"/>
      <c r="B65" s="45">
        <v>64</v>
      </c>
      <c r="C65" s="46" t="s">
        <v>184</v>
      </c>
      <c r="D65" s="33" t="s">
        <v>185</v>
      </c>
      <c r="E65" s="46" t="s">
        <v>70</v>
      </c>
      <c r="F65" s="46">
        <v>20</v>
      </c>
      <c r="G65" s="42">
        <v>201.59</v>
      </c>
      <c r="H65" s="42">
        <v>101.66</v>
      </c>
      <c r="I65" s="43">
        <v>303.25</v>
      </c>
      <c r="J65" s="44">
        <v>6065</v>
      </c>
    </row>
    <row r="66" spans="1:10">
      <c r="A66" s="5"/>
      <c r="B66" s="47">
        <v>65</v>
      </c>
      <c r="C66" s="46" t="s">
        <v>186</v>
      </c>
      <c r="D66" s="33" t="s">
        <v>187</v>
      </c>
      <c r="E66" s="46" t="s">
        <v>70</v>
      </c>
      <c r="F66" s="46">
        <v>20</v>
      </c>
      <c r="G66" s="42">
        <v>115.82</v>
      </c>
      <c r="H66" s="42">
        <v>0.38</v>
      </c>
      <c r="I66" s="43">
        <v>116.19999999999999</v>
      </c>
      <c r="J66" s="44">
        <v>2324</v>
      </c>
    </row>
    <row r="67" spans="1:10">
      <c r="A67" s="5"/>
      <c r="B67" s="45">
        <v>66</v>
      </c>
      <c r="C67" s="46" t="s">
        <v>188</v>
      </c>
      <c r="D67" s="33" t="s">
        <v>189</v>
      </c>
      <c r="E67" s="46" t="s">
        <v>70</v>
      </c>
      <c r="F67" s="46">
        <v>20</v>
      </c>
      <c r="G67" s="42">
        <v>105.85</v>
      </c>
      <c r="H67" s="42">
        <v>14.9</v>
      </c>
      <c r="I67" s="43">
        <v>120.75</v>
      </c>
      <c r="J67" s="44">
        <v>2415</v>
      </c>
    </row>
    <row r="68" spans="1:10">
      <c r="A68" s="5"/>
      <c r="B68" s="47">
        <v>67</v>
      </c>
      <c r="C68" s="46" t="s">
        <v>190</v>
      </c>
      <c r="D68" s="33" t="s">
        <v>191</v>
      </c>
      <c r="E68" s="46" t="s">
        <v>58</v>
      </c>
      <c r="F68" s="46">
        <v>40</v>
      </c>
      <c r="G68" s="42">
        <v>18.96</v>
      </c>
      <c r="H68" s="42">
        <v>11.02</v>
      </c>
      <c r="I68" s="43">
        <v>29.98</v>
      </c>
      <c r="J68" s="44">
        <v>1199.2</v>
      </c>
    </row>
    <row r="69" spans="1:10">
      <c r="A69" s="5"/>
      <c r="B69" s="45">
        <v>68</v>
      </c>
      <c r="C69" s="46" t="s">
        <v>192</v>
      </c>
      <c r="D69" s="33" t="s">
        <v>193</v>
      </c>
      <c r="E69" s="46" t="s">
        <v>58</v>
      </c>
      <c r="F69" s="46">
        <v>40</v>
      </c>
      <c r="G69" s="42">
        <v>56.41</v>
      </c>
      <c r="H69" s="42">
        <v>13.86</v>
      </c>
      <c r="I69" s="43">
        <v>70.27</v>
      </c>
      <c r="J69" s="44">
        <v>2810.7999999999997</v>
      </c>
    </row>
    <row r="70" spans="1:10">
      <c r="A70" s="5"/>
      <c r="B70" s="47">
        <v>69</v>
      </c>
      <c r="C70" s="46" t="s">
        <v>194</v>
      </c>
      <c r="D70" s="33" t="s">
        <v>195</v>
      </c>
      <c r="E70" s="46" t="s">
        <v>58</v>
      </c>
      <c r="F70" s="46">
        <v>40</v>
      </c>
      <c r="G70" s="42">
        <v>77.86</v>
      </c>
      <c r="H70" s="42">
        <v>15.48</v>
      </c>
      <c r="I70" s="43">
        <v>93.34</v>
      </c>
      <c r="J70" s="44">
        <v>3733.6000000000004</v>
      </c>
    </row>
    <row r="71" spans="1:10" ht="26.1">
      <c r="A71" s="5"/>
      <c r="B71" s="45">
        <v>70</v>
      </c>
      <c r="C71" s="46" t="s">
        <v>196</v>
      </c>
      <c r="D71" s="33" t="s">
        <v>197</v>
      </c>
      <c r="E71" s="46" t="s">
        <v>58</v>
      </c>
      <c r="F71" s="46">
        <v>10</v>
      </c>
      <c r="G71" s="42">
        <v>86.46</v>
      </c>
      <c r="H71" s="42">
        <v>30.36</v>
      </c>
      <c r="I71" s="43">
        <v>116.82</v>
      </c>
      <c r="J71" s="44">
        <v>1168.1999999999998</v>
      </c>
    </row>
    <row r="72" spans="1:10">
      <c r="A72" s="5"/>
      <c r="B72" s="47">
        <v>71</v>
      </c>
      <c r="C72" s="46" t="s">
        <v>198</v>
      </c>
      <c r="D72" s="33" t="s">
        <v>199</v>
      </c>
      <c r="E72" s="46" t="s">
        <v>58</v>
      </c>
      <c r="F72" s="46">
        <v>10</v>
      </c>
      <c r="G72" s="42">
        <v>62.03</v>
      </c>
      <c r="H72" s="42">
        <v>5.82</v>
      </c>
      <c r="I72" s="43">
        <v>67.849999999999994</v>
      </c>
      <c r="J72" s="44">
        <v>678.5</v>
      </c>
    </row>
    <row r="73" spans="1:10" ht="26.1">
      <c r="A73" s="5"/>
      <c r="B73" s="45">
        <v>72</v>
      </c>
      <c r="C73" s="46" t="s">
        <v>200</v>
      </c>
      <c r="D73" s="33" t="s">
        <v>201</v>
      </c>
      <c r="E73" s="46" t="s">
        <v>58</v>
      </c>
      <c r="F73" s="46">
        <v>50</v>
      </c>
      <c r="G73" s="42">
        <v>31.07</v>
      </c>
      <c r="H73" s="42">
        <v>12.51</v>
      </c>
      <c r="I73" s="43">
        <v>43.58</v>
      </c>
      <c r="J73" s="44">
        <v>2179</v>
      </c>
    </row>
    <row r="74" spans="1:10">
      <c r="A74" s="5"/>
      <c r="B74" s="47">
        <v>73</v>
      </c>
      <c r="C74" s="46" t="s">
        <v>202</v>
      </c>
      <c r="D74" s="33" t="s">
        <v>203</v>
      </c>
      <c r="E74" s="46" t="s">
        <v>58</v>
      </c>
      <c r="F74" s="46">
        <v>40</v>
      </c>
      <c r="G74" s="42">
        <v>10.14</v>
      </c>
      <c r="H74" s="42">
        <v>12.71</v>
      </c>
      <c r="I74" s="43">
        <v>22.85</v>
      </c>
      <c r="J74" s="44">
        <v>914</v>
      </c>
    </row>
    <row r="75" spans="1:10" ht="26.1">
      <c r="A75" s="5"/>
      <c r="B75" s="45">
        <v>74</v>
      </c>
      <c r="C75" s="46" t="s">
        <v>204</v>
      </c>
      <c r="D75" s="33" t="s">
        <v>205</v>
      </c>
      <c r="E75" s="46" t="s">
        <v>58</v>
      </c>
      <c r="F75" s="46">
        <v>40</v>
      </c>
      <c r="G75" s="42">
        <v>19.670000000000002</v>
      </c>
      <c r="H75" s="42">
        <v>9.61</v>
      </c>
      <c r="I75" s="43">
        <v>29.28</v>
      </c>
      <c r="J75" s="44">
        <v>1171.2</v>
      </c>
    </row>
    <row r="76" spans="1:10">
      <c r="A76" s="5"/>
      <c r="B76" s="47">
        <v>75</v>
      </c>
      <c r="C76" s="46" t="s">
        <v>206</v>
      </c>
      <c r="D76" s="33" t="s">
        <v>207</v>
      </c>
      <c r="E76" s="46" t="s">
        <v>61</v>
      </c>
      <c r="F76" s="46">
        <v>20</v>
      </c>
      <c r="G76" s="42">
        <v>16.850000000000001</v>
      </c>
      <c r="H76" s="42">
        <v>9.26</v>
      </c>
      <c r="I76" s="43">
        <v>26.11</v>
      </c>
      <c r="J76" s="44">
        <v>522.20000000000005</v>
      </c>
    </row>
    <row r="77" spans="1:10" ht="26.1">
      <c r="B77" s="45">
        <v>76</v>
      </c>
      <c r="C77" s="46" t="s">
        <v>208</v>
      </c>
      <c r="D77" s="33" t="s">
        <v>209</v>
      </c>
      <c r="E77" s="46" t="s">
        <v>61</v>
      </c>
      <c r="F77" s="46">
        <v>20</v>
      </c>
      <c r="G77" s="42">
        <v>17.82</v>
      </c>
      <c r="H77" s="42">
        <v>11.72</v>
      </c>
      <c r="I77" s="43">
        <v>29.54</v>
      </c>
      <c r="J77" s="44">
        <v>590.79999999999995</v>
      </c>
    </row>
    <row r="78" spans="1:10">
      <c r="B78" s="47">
        <v>77</v>
      </c>
      <c r="C78" s="46" t="s">
        <v>210</v>
      </c>
      <c r="D78" s="33" t="s">
        <v>211</v>
      </c>
      <c r="E78" s="46" t="s">
        <v>61</v>
      </c>
      <c r="F78" s="46">
        <v>20</v>
      </c>
      <c r="G78" s="42">
        <v>32.36</v>
      </c>
      <c r="H78" s="42">
        <v>10.66</v>
      </c>
      <c r="I78" s="43">
        <v>43.019999999999996</v>
      </c>
      <c r="J78" s="44">
        <v>860.39999999999986</v>
      </c>
    </row>
    <row r="79" spans="1:10">
      <c r="B79" s="45">
        <v>78</v>
      </c>
      <c r="C79" s="46" t="s">
        <v>212</v>
      </c>
      <c r="D79" s="33" t="s">
        <v>213</v>
      </c>
      <c r="E79" s="46" t="s">
        <v>58</v>
      </c>
      <c r="F79" s="46">
        <v>40</v>
      </c>
      <c r="G79" s="42">
        <v>24.55</v>
      </c>
      <c r="H79" s="42">
        <v>25.64</v>
      </c>
      <c r="I79" s="43">
        <v>50.19</v>
      </c>
      <c r="J79" s="44">
        <v>2007.6</v>
      </c>
    </row>
    <row r="80" spans="1:10">
      <c r="B80" s="47">
        <v>79</v>
      </c>
      <c r="C80" s="46" t="s">
        <v>214</v>
      </c>
      <c r="D80" s="33" t="s">
        <v>215</v>
      </c>
      <c r="E80" s="46" t="s">
        <v>58</v>
      </c>
      <c r="F80" s="46">
        <v>20</v>
      </c>
      <c r="G80" s="42">
        <v>52.78</v>
      </c>
      <c r="H80" s="42">
        <v>18.23</v>
      </c>
      <c r="I80" s="43">
        <v>71.010000000000005</v>
      </c>
      <c r="J80" s="44">
        <v>1420.2</v>
      </c>
    </row>
    <row r="81" spans="2:10">
      <c r="B81" s="45">
        <v>80</v>
      </c>
      <c r="C81" s="46" t="s">
        <v>216</v>
      </c>
      <c r="D81" s="33" t="s">
        <v>217</v>
      </c>
      <c r="E81" s="46" t="s">
        <v>58</v>
      </c>
      <c r="F81" s="46">
        <v>20</v>
      </c>
      <c r="G81" s="42">
        <v>10.14</v>
      </c>
      <c r="H81" s="42">
        <v>12.72</v>
      </c>
      <c r="I81" s="43">
        <v>22.86</v>
      </c>
      <c r="J81" s="44">
        <v>457.2</v>
      </c>
    </row>
    <row r="82" spans="2:10">
      <c r="B82" s="47">
        <v>81</v>
      </c>
      <c r="C82" s="46" t="s">
        <v>218</v>
      </c>
      <c r="D82" s="33" t="s">
        <v>219</v>
      </c>
      <c r="E82" s="46" t="s">
        <v>61</v>
      </c>
      <c r="F82" s="46">
        <v>20</v>
      </c>
      <c r="G82" s="42">
        <v>143.32</v>
      </c>
      <c r="H82" s="42">
        <v>46.52</v>
      </c>
      <c r="I82" s="43">
        <v>189.84</v>
      </c>
      <c r="J82" s="44">
        <v>3796.8</v>
      </c>
    </row>
    <row r="83" spans="2:10" ht="26.1">
      <c r="B83" s="45">
        <v>82</v>
      </c>
      <c r="C83" s="46" t="s">
        <v>220</v>
      </c>
      <c r="D83" s="33" t="s">
        <v>221</v>
      </c>
      <c r="E83" s="46" t="s">
        <v>61</v>
      </c>
      <c r="F83" s="46">
        <v>20</v>
      </c>
      <c r="G83" s="42">
        <v>105.02</v>
      </c>
      <c r="H83" s="42">
        <v>76.459999999999994</v>
      </c>
      <c r="I83" s="43">
        <v>181.48</v>
      </c>
      <c r="J83" s="44">
        <v>3629.6</v>
      </c>
    </row>
    <row r="84" spans="2:10" ht="26.1">
      <c r="B84" s="47">
        <v>83</v>
      </c>
      <c r="C84" s="46" t="s">
        <v>222</v>
      </c>
      <c r="D84" s="33" t="s">
        <v>223</v>
      </c>
      <c r="E84" s="46" t="s">
        <v>61</v>
      </c>
      <c r="F84" s="46">
        <v>20</v>
      </c>
      <c r="G84" s="42">
        <v>68.180000000000007</v>
      </c>
      <c r="H84" s="42">
        <v>21.97</v>
      </c>
      <c r="I84" s="43">
        <v>90.15</v>
      </c>
      <c r="J84" s="44">
        <v>1803</v>
      </c>
    </row>
    <row r="85" spans="2:10">
      <c r="B85" s="45">
        <v>84</v>
      </c>
      <c r="C85" s="46" t="s">
        <v>224</v>
      </c>
      <c r="D85" s="33" t="s">
        <v>225</v>
      </c>
      <c r="E85" s="46" t="s">
        <v>61</v>
      </c>
      <c r="F85" s="46">
        <v>20</v>
      </c>
      <c r="G85" s="42">
        <v>41.26</v>
      </c>
      <c r="H85" s="42">
        <v>30.49</v>
      </c>
      <c r="I85" s="43">
        <v>71.75</v>
      </c>
      <c r="J85" s="44">
        <v>1435</v>
      </c>
    </row>
    <row r="86" spans="2:10" ht="26.1">
      <c r="B86" s="47">
        <v>85</v>
      </c>
      <c r="C86" s="46" t="s">
        <v>226</v>
      </c>
      <c r="D86" s="33" t="s">
        <v>227</v>
      </c>
      <c r="E86" s="46" t="s">
        <v>58</v>
      </c>
      <c r="F86" s="46">
        <v>20</v>
      </c>
      <c r="G86" s="42">
        <v>47.94</v>
      </c>
      <c r="H86" s="42">
        <v>21.76</v>
      </c>
      <c r="I86" s="43">
        <v>69.7</v>
      </c>
      <c r="J86" s="44">
        <v>1394</v>
      </c>
    </row>
    <row r="87" spans="2:10" ht="26.1">
      <c r="B87" s="45">
        <v>86</v>
      </c>
      <c r="C87" s="46" t="s">
        <v>228</v>
      </c>
      <c r="D87" s="33" t="s">
        <v>229</v>
      </c>
      <c r="E87" s="46" t="s">
        <v>58</v>
      </c>
      <c r="F87" s="46">
        <v>20</v>
      </c>
      <c r="G87" s="42">
        <v>178.64</v>
      </c>
      <c r="H87" s="42">
        <v>200.64</v>
      </c>
      <c r="I87" s="43">
        <v>379.28</v>
      </c>
      <c r="J87" s="44">
        <v>7585.5999999999995</v>
      </c>
    </row>
    <row r="88" spans="2:10">
      <c r="B88" s="47">
        <v>87</v>
      </c>
      <c r="C88" s="46" t="s">
        <v>230</v>
      </c>
      <c r="D88" s="33" t="s">
        <v>36</v>
      </c>
      <c r="E88" s="46" t="s">
        <v>58</v>
      </c>
      <c r="F88" s="46">
        <v>20</v>
      </c>
      <c r="G88" s="42">
        <v>49.89</v>
      </c>
      <c r="H88" s="42">
        <v>11.84</v>
      </c>
      <c r="I88" s="43">
        <v>61.730000000000004</v>
      </c>
      <c r="J88" s="44">
        <v>1234.6000000000001</v>
      </c>
    </row>
    <row r="89" spans="2:10">
      <c r="B89" s="45">
        <v>88</v>
      </c>
      <c r="C89" s="46" t="s">
        <v>231</v>
      </c>
      <c r="D89" s="33" t="s">
        <v>232</v>
      </c>
      <c r="E89" s="46" t="s">
        <v>58</v>
      </c>
      <c r="F89" s="46">
        <v>20</v>
      </c>
      <c r="G89" s="42">
        <v>107.93</v>
      </c>
      <c r="H89" s="42">
        <v>27.1</v>
      </c>
      <c r="I89" s="43">
        <v>135.03</v>
      </c>
      <c r="J89" s="44">
        <v>2700.6</v>
      </c>
    </row>
    <row r="90" spans="2:10">
      <c r="B90" s="47">
        <v>89</v>
      </c>
      <c r="C90" s="46" t="s">
        <v>233</v>
      </c>
      <c r="D90" s="33" t="s">
        <v>234</v>
      </c>
      <c r="E90" s="46" t="s">
        <v>58</v>
      </c>
      <c r="F90" s="46">
        <v>20</v>
      </c>
      <c r="G90" s="42">
        <v>72.88</v>
      </c>
      <c r="H90" s="42">
        <v>21.81</v>
      </c>
      <c r="I90" s="43">
        <v>94.69</v>
      </c>
      <c r="J90" s="44">
        <v>1893.8</v>
      </c>
    </row>
    <row r="91" spans="2:10">
      <c r="B91" s="45">
        <v>90</v>
      </c>
      <c r="C91" s="46" t="s">
        <v>235</v>
      </c>
      <c r="D91" s="33" t="s">
        <v>236</v>
      </c>
      <c r="E91" s="46" t="s">
        <v>58</v>
      </c>
      <c r="F91" s="46">
        <v>20</v>
      </c>
      <c r="G91" s="42">
        <v>37.619999999999997</v>
      </c>
      <c r="H91" s="42">
        <v>0.65</v>
      </c>
      <c r="I91" s="43">
        <v>38.269999999999996</v>
      </c>
      <c r="J91" s="44">
        <v>765.39999999999986</v>
      </c>
    </row>
    <row r="92" spans="2:10">
      <c r="B92" s="47">
        <v>91</v>
      </c>
      <c r="C92" s="46" t="s">
        <v>237</v>
      </c>
      <c r="D92" s="33" t="s">
        <v>238</v>
      </c>
      <c r="E92" s="46" t="s">
        <v>58</v>
      </c>
      <c r="F92" s="46">
        <v>20</v>
      </c>
      <c r="G92" s="42">
        <v>14.1</v>
      </c>
      <c r="H92" s="42">
        <v>11.84</v>
      </c>
      <c r="I92" s="43">
        <v>25.939999999999998</v>
      </c>
      <c r="J92" s="44">
        <v>518.79999999999995</v>
      </c>
    </row>
    <row r="93" spans="2:10">
      <c r="B93" s="45">
        <v>92</v>
      </c>
      <c r="C93" s="46" t="s">
        <v>239</v>
      </c>
      <c r="D93" s="33" t="s">
        <v>240</v>
      </c>
      <c r="E93" s="46" t="s">
        <v>58</v>
      </c>
      <c r="F93" s="46">
        <v>20</v>
      </c>
      <c r="G93" s="42">
        <v>54.1</v>
      </c>
      <c r="H93" s="42">
        <v>11.84</v>
      </c>
      <c r="I93" s="43">
        <v>65.94</v>
      </c>
      <c r="J93" s="44">
        <v>1318.8</v>
      </c>
    </row>
    <row r="94" spans="2:10">
      <c r="B94" s="47">
        <v>93</v>
      </c>
      <c r="C94" s="46" t="s">
        <v>241</v>
      </c>
      <c r="D94" s="33" t="s">
        <v>242</v>
      </c>
      <c r="E94" s="46" t="s">
        <v>58</v>
      </c>
      <c r="F94" s="46">
        <v>20</v>
      </c>
      <c r="G94" s="42">
        <v>85.25</v>
      </c>
      <c r="H94" s="42">
        <v>42.26</v>
      </c>
      <c r="I94" s="43">
        <v>127.50999999999999</v>
      </c>
      <c r="J94" s="44">
        <v>2550.1999999999998</v>
      </c>
    </row>
    <row r="95" spans="2:10">
      <c r="B95" s="45">
        <v>94</v>
      </c>
      <c r="C95" s="46" t="s">
        <v>243</v>
      </c>
      <c r="D95" s="33" t="s">
        <v>244</v>
      </c>
      <c r="E95" s="46" t="s">
        <v>58</v>
      </c>
      <c r="F95" s="46">
        <v>20</v>
      </c>
      <c r="G95" s="42">
        <v>73.83</v>
      </c>
      <c r="H95" s="42">
        <v>50.2</v>
      </c>
      <c r="I95" s="43">
        <v>124.03</v>
      </c>
      <c r="J95" s="44">
        <v>2480.6</v>
      </c>
    </row>
    <row r="96" spans="2:10">
      <c r="B96" s="47">
        <v>95</v>
      </c>
      <c r="C96" s="46" t="s">
        <v>245</v>
      </c>
      <c r="D96" s="33" t="s">
        <v>246</v>
      </c>
      <c r="E96" s="46" t="s">
        <v>58</v>
      </c>
      <c r="F96" s="46">
        <v>20</v>
      </c>
      <c r="G96" s="42">
        <v>14.8</v>
      </c>
      <c r="H96" s="42">
        <v>11.84</v>
      </c>
      <c r="I96" s="43">
        <v>26.64</v>
      </c>
      <c r="J96" s="44">
        <v>532.79999999999995</v>
      </c>
    </row>
    <row r="97" spans="2:10">
      <c r="B97" s="45">
        <v>96</v>
      </c>
      <c r="C97" s="46" t="s">
        <v>247</v>
      </c>
      <c r="D97" s="33" t="s">
        <v>248</v>
      </c>
      <c r="E97" s="46" t="s">
        <v>58</v>
      </c>
      <c r="F97" s="46">
        <v>20</v>
      </c>
      <c r="G97" s="42">
        <v>33.49</v>
      </c>
      <c r="H97" s="42">
        <v>12.37</v>
      </c>
      <c r="I97" s="43">
        <v>45.86</v>
      </c>
      <c r="J97" s="44">
        <v>917.2</v>
      </c>
    </row>
    <row r="98" spans="2:10">
      <c r="B98" s="47">
        <v>97</v>
      </c>
      <c r="C98" s="46" t="s">
        <v>249</v>
      </c>
      <c r="D98" s="33" t="s">
        <v>250</v>
      </c>
      <c r="E98" s="46" t="s">
        <v>58</v>
      </c>
      <c r="F98" s="46">
        <v>40</v>
      </c>
      <c r="G98" s="42">
        <v>39.36</v>
      </c>
      <c r="H98" s="42">
        <v>15.2</v>
      </c>
      <c r="I98" s="43">
        <v>54.56</v>
      </c>
      <c r="J98" s="44">
        <v>2182.4</v>
      </c>
    </row>
    <row r="99" spans="2:10">
      <c r="B99" s="45">
        <v>98</v>
      </c>
      <c r="C99" s="46" t="s">
        <v>251</v>
      </c>
      <c r="D99" s="33" t="s">
        <v>252</v>
      </c>
      <c r="E99" s="46" t="s">
        <v>58</v>
      </c>
      <c r="F99" s="46">
        <v>40</v>
      </c>
      <c r="G99" s="42">
        <v>30.73</v>
      </c>
      <c r="H99" s="42">
        <v>15.92</v>
      </c>
      <c r="I99" s="43">
        <v>46.65</v>
      </c>
      <c r="J99" s="44">
        <v>1866</v>
      </c>
    </row>
    <row r="100" spans="2:10">
      <c r="B100" s="47">
        <v>99</v>
      </c>
      <c r="C100" s="46" t="s">
        <v>253</v>
      </c>
      <c r="D100" s="33" t="s">
        <v>254</v>
      </c>
      <c r="E100" s="46" t="s">
        <v>255</v>
      </c>
      <c r="F100" s="46">
        <v>40</v>
      </c>
      <c r="G100" s="42">
        <v>9.94</v>
      </c>
      <c r="H100" s="42">
        <v>1.2</v>
      </c>
      <c r="I100" s="43">
        <v>11.139999999999999</v>
      </c>
      <c r="J100" s="44">
        <v>445.59999999999997</v>
      </c>
    </row>
    <row r="101" spans="2:10" ht="26.1">
      <c r="B101" s="45">
        <v>100</v>
      </c>
      <c r="C101" s="46" t="s">
        <v>256</v>
      </c>
      <c r="D101" s="33" t="s">
        <v>257</v>
      </c>
      <c r="E101" s="46" t="s">
        <v>255</v>
      </c>
      <c r="F101" s="46">
        <v>12</v>
      </c>
      <c r="G101" s="42">
        <v>9.24</v>
      </c>
      <c r="H101" s="42">
        <v>0.83</v>
      </c>
      <c r="I101" s="43">
        <v>10.07</v>
      </c>
      <c r="J101" s="44">
        <v>120.84</v>
      </c>
    </row>
    <row r="102" spans="2:10">
      <c r="B102" s="47">
        <v>101</v>
      </c>
      <c r="C102" s="46" t="s">
        <v>258</v>
      </c>
      <c r="D102" s="33" t="s">
        <v>259</v>
      </c>
      <c r="E102" s="46" t="s">
        <v>255</v>
      </c>
      <c r="F102" s="46">
        <v>12</v>
      </c>
      <c r="G102" s="42">
        <v>8.1199999999999992</v>
      </c>
      <c r="H102" s="42">
        <v>1.02</v>
      </c>
      <c r="I102" s="43">
        <v>9.1399999999999988</v>
      </c>
      <c r="J102" s="44">
        <v>109.67999999999998</v>
      </c>
    </row>
    <row r="103" spans="2:10">
      <c r="B103" s="45">
        <v>102</v>
      </c>
      <c r="C103" s="46" t="s">
        <v>260</v>
      </c>
      <c r="D103" s="33" t="s">
        <v>261</v>
      </c>
      <c r="E103" s="46" t="s">
        <v>255</v>
      </c>
      <c r="F103" s="46">
        <v>12</v>
      </c>
      <c r="G103" s="42">
        <v>8.1199999999999992</v>
      </c>
      <c r="H103" s="42">
        <v>1</v>
      </c>
      <c r="I103" s="43">
        <v>9.1199999999999992</v>
      </c>
      <c r="J103" s="44">
        <v>109.44</v>
      </c>
    </row>
    <row r="104" spans="2:10">
      <c r="B104" s="47">
        <v>103</v>
      </c>
      <c r="C104" s="46" t="s">
        <v>262</v>
      </c>
      <c r="D104" s="33" t="s">
        <v>38</v>
      </c>
      <c r="E104" s="46" t="s">
        <v>255</v>
      </c>
      <c r="F104" s="46">
        <v>12</v>
      </c>
      <c r="G104" s="42">
        <v>7.87</v>
      </c>
      <c r="H104" s="42">
        <v>0.33</v>
      </c>
      <c r="I104" s="43">
        <v>8.1999999999999993</v>
      </c>
      <c r="J104" s="44">
        <v>98.399999999999991</v>
      </c>
    </row>
    <row r="105" spans="2:10">
      <c r="B105" s="45">
        <v>104</v>
      </c>
      <c r="C105" s="46" t="s">
        <v>263</v>
      </c>
      <c r="D105" s="33" t="s">
        <v>40</v>
      </c>
      <c r="E105" s="46" t="s">
        <v>70</v>
      </c>
      <c r="F105" s="46">
        <v>50</v>
      </c>
      <c r="G105" s="42">
        <v>291.58999999999997</v>
      </c>
      <c r="H105" s="42">
        <v>101.66</v>
      </c>
      <c r="I105" s="43">
        <v>393.25</v>
      </c>
      <c r="J105" s="44">
        <v>19662.5</v>
      </c>
    </row>
    <row r="106" spans="2:10">
      <c r="B106" s="47">
        <v>105</v>
      </c>
      <c r="C106" s="46" t="s">
        <v>264</v>
      </c>
      <c r="D106" s="33" t="s">
        <v>265</v>
      </c>
      <c r="E106" s="46" t="s">
        <v>70</v>
      </c>
      <c r="F106" s="46">
        <v>10</v>
      </c>
      <c r="G106" s="42"/>
      <c r="H106" s="42">
        <v>74.98</v>
      </c>
      <c r="I106" s="43">
        <v>74.98</v>
      </c>
      <c r="J106" s="44">
        <v>749.80000000000007</v>
      </c>
    </row>
    <row r="107" spans="2:10">
      <c r="B107" s="45">
        <v>106</v>
      </c>
      <c r="C107" s="46" t="s">
        <v>266</v>
      </c>
      <c r="D107" s="33" t="s">
        <v>267</v>
      </c>
      <c r="E107" s="46" t="s">
        <v>70</v>
      </c>
      <c r="F107" s="46">
        <v>10</v>
      </c>
      <c r="G107" s="42"/>
      <c r="H107" s="42">
        <v>20.12</v>
      </c>
      <c r="I107" s="43">
        <v>20.12</v>
      </c>
      <c r="J107" s="44">
        <v>201.20000000000002</v>
      </c>
    </row>
    <row r="108" spans="2:10">
      <c r="B108" s="47">
        <v>107</v>
      </c>
      <c r="C108" s="46" t="s">
        <v>268</v>
      </c>
      <c r="D108" s="33" t="s">
        <v>43</v>
      </c>
      <c r="E108" s="46" t="s">
        <v>70</v>
      </c>
      <c r="F108" s="46">
        <v>10</v>
      </c>
      <c r="G108" s="42">
        <v>161.12</v>
      </c>
      <c r="H108" s="42">
        <v>101.63</v>
      </c>
      <c r="I108" s="43">
        <v>262.75</v>
      </c>
      <c r="J108" s="44">
        <v>2627.5</v>
      </c>
    </row>
    <row r="109" spans="2:10">
      <c r="B109" s="45">
        <v>108</v>
      </c>
      <c r="C109" s="46" t="s">
        <v>269</v>
      </c>
      <c r="D109" s="33" t="s">
        <v>270</v>
      </c>
      <c r="E109" s="46" t="s">
        <v>70</v>
      </c>
      <c r="F109" s="46">
        <v>10</v>
      </c>
      <c r="G109" s="42">
        <v>211.81</v>
      </c>
      <c r="H109" s="42">
        <v>48</v>
      </c>
      <c r="I109" s="43">
        <v>259.81</v>
      </c>
      <c r="J109" s="44">
        <v>2598.1</v>
      </c>
    </row>
    <row r="110" spans="2:10" ht="26.1">
      <c r="B110" s="47">
        <v>109</v>
      </c>
      <c r="C110" s="46" t="s">
        <v>271</v>
      </c>
      <c r="D110" s="33" t="s">
        <v>272</v>
      </c>
      <c r="E110" s="46" t="s">
        <v>58</v>
      </c>
      <c r="F110" s="46">
        <v>10</v>
      </c>
      <c r="G110" s="42">
        <v>132.94999999999999</v>
      </c>
      <c r="H110" s="42">
        <v>32.68</v>
      </c>
      <c r="I110" s="43">
        <v>165.63</v>
      </c>
      <c r="J110" s="44">
        <v>1656.3</v>
      </c>
    </row>
    <row r="111" spans="2:10" ht="26.1">
      <c r="B111" s="45">
        <v>110</v>
      </c>
      <c r="C111" s="46" t="s">
        <v>273</v>
      </c>
      <c r="D111" s="33" t="s">
        <v>274</v>
      </c>
      <c r="E111" s="46" t="s">
        <v>58</v>
      </c>
      <c r="F111" s="46">
        <v>10</v>
      </c>
      <c r="G111" s="42">
        <v>95.35</v>
      </c>
      <c r="H111" s="42">
        <v>32.659999999999997</v>
      </c>
      <c r="I111" s="43">
        <v>128.01</v>
      </c>
      <c r="J111" s="44">
        <v>1280.0999999999999</v>
      </c>
    </row>
    <row r="112" spans="2:10" ht="26.1">
      <c r="B112" s="47">
        <v>111</v>
      </c>
      <c r="C112" s="46" t="s">
        <v>275</v>
      </c>
      <c r="D112" s="33" t="s">
        <v>276</v>
      </c>
      <c r="E112" s="46" t="s">
        <v>61</v>
      </c>
      <c r="F112" s="46">
        <v>10</v>
      </c>
      <c r="G112" s="42">
        <v>2.02</v>
      </c>
      <c r="H112" s="42">
        <v>10.94</v>
      </c>
      <c r="I112" s="43">
        <v>12.959999999999999</v>
      </c>
      <c r="J112" s="44">
        <v>129.6</v>
      </c>
    </row>
    <row r="113" spans="2:10">
      <c r="B113" s="45">
        <v>112</v>
      </c>
      <c r="C113" s="46" t="s">
        <v>277</v>
      </c>
      <c r="D113" s="33" t="s">
        <v>278</v>
      </c>
      <c r="E113" s="46" t="s">
        <v>58</v>
      </c>
      <c r="F113" s="46">
        <v>10</v>
      </c>
      <c r="G113" s="42"/>
      <c r="H113" s="42">
        <v>17.260000000000002</v>
      </c>
      <c r="I113" s="43">
        <v>17.260000000000002</v>
      </c>
      <c r="J113" s="44">
        <v>172.60000000000002</v>
      </c>
    </row>
    <row r="114" spans="2:10">
      <c r="B114" s="47">
        <v>113</v>
      </c>
      <c r="C114" s="46" t="s">
        <v>279</v>
      </c>
      <c r="D114" s="33" t="s">
        <v>280</v>
      </c>
      <c r="E114" s="46" t="s">
        <v>61</v>
      </c>
      <c r="F114" s="46">
        <v>40</v>
      </c>
      <c r="G114" s="42">
        <v>9.6</v>
      </c>
      <c r="H114" s="42">
        <v>8</v>
      </c>
      <c r="I114" s="43">
        <v>17.600000000000001</v>
      </c>
      <c r="J114" s="44">
        <v>704</v>
      </c>
    </row>
    <row r="115" spans="2:10">
      <c r="B115" s="45">
        <v>114</v>
      </c>
      <c r="C115" s="46" t="s">
        <v>281</v>
      </c>
      <c r="D115" s="33" t="s">
        <v>282</v>
      </c>
      <c r="E115" s="46" t="s">
        <v>61</v>
      </c>
      <c r="F115" s="46">
        <v>10</v>
      </c>
      <c r="G115" s="42">
        <v>1.27</v>
      </c>
      <c r="H115" s="42">
        <v>6.82</v>
      </c>
      <c r="I115" s="43">
        <v>8.09</v>
      </c>
      <c r="J115" s="44">
        <v>80.900000000000006</v>
      </c>
    </row>
    <row r="116" spans="2:10" ht="26.1">
      <c r="B116" s="47">
        <v>115</v>
      </c>
      <c r="C116" s="46" t="s">
        <v>283</v>
      </c>
      <c r="D116" s="33" t="s">
        <v>284</v>
      </c>
      <c r="E116" s="46" t="s">
        <v>61</v>
      </c>
      <c r="F116" s="46">
        <v>10</v>
      </c>
      <c r="G116" s="42">
        <v>4.78</v>
      </c>
      <c r="H116" s="42">
        <v>6.81</v>
      </c>
      <c r="I116" s="43">
        <v>11.59</v>
      </c>
      <c r="J116" s="44">
        <v>115.9</v>
      </c>
    </row>
    <row r="117" spans="2:10">
      <c r="B117" s="45">
        <v>116</v>
      </c>
      <c r="C117" s="46" t="s">
        <v>285</v>
      </c>
      <c r="D117" s="33" t="s">
        <v>286</v>
      </c>
      <c r="E117" s="46" t="s">
        <v>70</v>
      </c>
      <c r="F117" s="46">
        <v>50</v>
      </c>
      <c r="G117" s="42">
        <v>196.2</v>
      </c>
      <c r="H117" s="42">
        <v>45.86</v>
      </c>
      <c r="I117" s="43">
        <v>242.06</v>
      </c>
      <c r="J117" s="44">
        <v>12103</v>
      </c>
    </row>
    <row r="118" spans="2:10">
      <c r="B118" s="47">
        <v>117</v>
      </c>
      <c r="C118" s="46" t="s">
        <v>287</v>
      </c>
      <c r="D118" s="33" t="s">
        <v>288</v>
      </c>
      <c r="E118" s="46" t="s">
        <v>70</v>
      </c>
      <c r="F118" s="46">
        <v>50</v>
      </c>
      <c r="G118" s="42">
        <v>184.2</v>
      </c>
      <c r="H118" s="42">
        <v>29.86</v>
      </c>
      <c r="I118" s="43">
        <v>214.06</v>
      </c>
      <c r="J118" s="44">
        <v>10703</v>
      </c>
    </row>
    <row r="119" spans="2:10">
      <c r="B119" s="45">
        <v>118</v>
      </c>
      <c r="C119" s="46" t="s">
        <v>289</v>
      </c>
      <c r="D119" s="33" t="s">
        <v>290</v>
      </c>
      <c r="E119" s="46" t="s">
        <v>70</v>
      </c>
      <c r="F119" s="46">
        <v>50</v>
      </c>
      <c r="G119" s="42">
        <v>178</v>
      </c>
      <c r="H119" s="42">
        <v>29.86</v>
      </c>
      <c r="I119" s="43">
        <v>207.86</v>
      </c>
      <c r="J119" s="44">
        <v>10393</v>
      </c>
    </row>
    <row r="120" spans="2:10">
      <c r="B120" s="47">
        <v>119</v>
      </c>
      <c r="C120" s="46" t="s">
        <v>291</v>
      </c>
      <c r="D120" s="33" t="s">
        <v>292</v>
      </c>
      <c r="E120" s="46" t="s">
        <v>70</v>
      </c>
      <c r="F120" s="46">
        <v>50</v>
      </c>
      <c r="G120" s="42">
        <v>155</v>
      </c>
      <c r="H120" s="42">
        <v>45.86</v>
      </c>
      <c r="I120" s="43">
        <v>200.86</v>
      </c>
      <c r="J120" s="44">
        <v>10043</v>
      </c>
    </row>
    <row r="121" spans="2:10">
      <c r="B121" s="45">
        <v>120</v>
      </c>
      <c r="C121" s="46" t="s">
        <v>293</v>
      </c>
      <c r="D121" s="33" t="s">
        <v>294</v>
      </c>
      <c r="E121" s="46" t="s">
        <v>70</v>
      </c>
      <c r="F121" s="46">
        <v>50</v>
      </c>
      <c r="G121" s="42">
        <v>168.88</v>
      </c>
      <c r="H121" s="42">
        <v>29.6</v>
      </c>
      <c r="I121" s="43">
        <v>198.48</v>
      </c>
      <c r="J121" s="44">
        <v>9924</v>
      </c>
    </row>
    <row r="122" spans="2:10">
      <c r="B122" s="47">
        <v>121</v>
      </c>
      <c r="C122" s="46" t="s">
        <v>295</v>
      </c>
      <c r="D122" s="33" t="s">
        <v>296</v>
      </c>
      <c r="E122" s="46" t="s">
        <v>70</v>
      </c>
      <c r="F122" s="46">
        <v>50</v>
      </c>
      <c r="G122" s="42">
        <v>167.15</v>
      </c>
      <c r="H122" s="42">
        <v>56</v>
      </c>
      <c r="I122" s="43">
        <v>223.15</v>
      </c>
      <c r="J122" s="44">
        <v>11157.5</v>
      </c>
    </row>
    <row r="123" spans="2:10">
      <c r="B123" s="45">
        <v>122</v>
      </c>
      <c r="C123" s="46" t="s">
        <v>297</v>
      </c>
      <c r="D123" s="33" t="s">
        <v>298</v>
      </c>
      <c r="E123" s="46" t="s">
        <v>61</v>
      </c>
      <c r="F123" s="46">
        <v>50</v>
      </c>
      <c r="G123" s="42">
        <v>17.45</v>
      </c>
      <c r="H123" s="42">
        <v>5.41</v>
      </c>
      <c r="I123" s="43">
        <v>22.86</v>
      </c>
      <c r="J123" s="44">
        <v>1143</v>
      </c>
    </row>
    <row r="124" spans="2:10">
      <c r="B124" s="47">
        <v>123</v>
      </c>
      <c r="C124" s="46" t="s">
        <v>299</v>
      </c>
      <c r="D124" s="33" t="s">
        <v>300</v>
      </c>
      <c r="E124" s="46" t="s">
        <v>61</v>
      </c>
      <c r="F124" s="46">
        <v>50</v>
      </c>
      <c r="G124" s="42">
        <v>2.82</v>
      </c>
      <c r="H124" s="42">
        <v>9.81</v>
      </c>
      <c r="I124" s="43">
        <v>12.63</v>
      </c>
      <c r="J124" s="44">
        <v>631.5</v>
      </c>
    </row>
    <row r="125" spans="2:10" ht="26.1">
      <c r="B125" s="45">
        <v>124</v>
      </c>
      <c r="C125" s="46" t="s">
        <v>301</v>
      </c>
      <c r="D125" s="33" t="s">
        <v>302</v>
      </c>
      <c r="E125" s="46" t="s">
        <v>58</v>
      </c>
      <c r="F125" s="46">
        <v>50</v>
      </c>
      <c r="G125" s="42">
        <v>26.61</v>
      </c>
      <c r="H125" s="42">
        <v>20.45</v>
      </c>
      <c r="I125" s="43">
        <v>47.06</v>
      </c>
      <c r="J125" s="44">
        <v>2353</v>
      </c>
    </row>
    <row r="126" spans="2:10" ht="26.1">
      <c r="B126" s="47">
        <v>125</v>
      </c>
      <c r="C126" s="46" t="s">
        <v>303</v>
      </c>
      <c r="D126" s="33" t="s">
        <v>304</v>
      </c>
      <c r="E126" s="46" t="s">
        <v>58</v>
      </c>
      <c r="F126" s="46">
        <v>50</v>
      </c>
      <c r="G126" s="42">
        <v>83.24</v>
      </c>
      <c r="H126" s="42">
        <v>52.73</v>
      </c>
      <c r="I126" s="43">
        <v>135.97</v>
      </c>
      <c r="J126" s="44">
        <v>6798.5</v>
      </c>
    </row>
    <row r="127" spans="2:10" ht="26.1">
      <c r="B127" s="45">
        <v>126</v>
      </c>
      <c r="C127" s="46" t="s">
        <v>305</v>
      </c>
      <c r="D127" s="33" t="s">
        <v>306</v>
      </c>
      <c r="E127" s="46" t="s">
        <v>58</v>
      </c>
      <c r="F127" s="46">
        <v>10</v>
      </c>
      <c r="G127" s="42">
        <v>39.200000000000003</v>
      </c>
      <c r="H127" s="42">
        <v>22.45</v>
      </c>
      <c r="I127" s="43">
        <v>61.650000000000006</v>
      </c>
      <c r="J127" s="44">
        <v>616.5</v>
      </c>
    </row>
    <row r="128" spans="2:10" ht="26.1">
      <c r="B128" s="47">
        <v>127</v>
      </c>
      <c r="C128" s="46" t="s">
        <v>307</v>
      </c>
      <c r="D128" s="33" t="s">
        <v>308</v>
      </c>
      <c r="E128" s="46" t="s">
        <v>58</v>
      </c>
      <c r="F128" s="46">
        <v>10</v>
      </c>
      <c r="G128" s="42">
        <v>92.8</v>
      </c>
      <c r="H128" s="42">
        <v>52.73</v>
      </c>
      <c r="I128" s="43">
        <v>145.53</v>
      </c>
      <c r="J128" s="44">
        <v>1455.3</v>
      </c>
    </row>
    <row r="129" spans="2:10" ht="39">
      <c r="B129" s="45">
        <v>128</v>
      </c>
      <c r="C129" s="46" t="s">
        <v>309</v>
      </c>
      <c r="D129" s="33" t="s">
        <v>310</v>
      </c>
      <c r="E129" s="46" t="s">
        <v>58</v>
      </c>
      <c r="F129" s="46">
        <v>10</v>
      </c>
      <c r="G129" s="42">
        <v>24.82</v>
      </c>
      <c r="H129" s="42">
        <v>15.13</v>
      </c>
      <c r="I129" s="43">
        <v>39.950000000000003</v>
      </c>
      <c r="J129" s="44">
        <v>399.5</v>
      </c>
    </row>
    <row r="130" spans="2:10" ht="39">
      <c r="B130" s="47">
        <v>129</v>
      </c>
      <c r="C130" s="46" t="s">
        <v>311</v>
      </c>
      <c r="D130" s="33" t="s">
        <v>312</v>
      </c>
      <c r="E130" s="46" t="s">
        <v>58</v>
      </c>
      <c r="F130" s="46">
        <v>40</v>
      </c>
      <c r="G130" s="42">
        <v>38.65</v>
      </c>
      <c r="H130" s="42">
        <v>29.32</v>
      </c>
      <c r="I130" s="43">
        <v>67.97</v>
      </c>
      <c r="J130" s="44">
        <v>2718.8</v>
      </c>
    </row>
    <row r="131" spans="2:10" ht="39">
      <c r="B131" s="45">
        <v>130</v>
      </c>
      <c r="C131" s="46" t="s">
        <v>313</v>
      </c>
      <c r="D131" s="33" t="s">
        <v>314</v>
      </c>
      <c r="E131" s="46" t="s">
        <v>58</v>
      </c>
      <c r="F131" s="46">
        <v>10</v>
      </c>
      <c r="G131" s="42">
        <v>24.82</v>
      </c>
      <c r="H131" s="42">
        <v>15.13</v>
      </c>
      <c r="I131" s="43">
        <v>39.950000000000003</v>
      </c>
      <c r="J131" s="44">
        <v>399.5</v>
      </c>
    </row>
    <row r="132" spans="2:10" ht="39">
      <c r="B132" s="47">
        <v>131</v>
      </c>
      <c r="C132" s="46" t="s">
        <v>315</v>
      </c>
      <c r="D132" s="33" t="s">
        <v>316</v>
      </c>
      <c r="E132" s="46" t="s">
        <v>58</v>
      </c>
      <c r="F132" s="46">
        <v>10</v>
      </c>
      <c r="G132" s="42">
        <v>48.65</v>
      </c>
      <c r="H132" s="42">
        <v>29.32</v>
      </c>
      <c r="I132" s="43">
        <v>77.97</v>
      </c>
      <c r="J132" s="44">
        <v>779.7</v>
      </c>
    </row>
    <row r="133" spans="2:10" ht="26.1">
      <c r="B133" s="45">
        <v>132</v>
      </c>
      <c r="C133" s="46" t="s">
        <v>317</v>
      </c>
      <c r="D133" s="33" t="s">
        <v>318</v>
      </c>
      <c r="E133" s="46" t="s">
        <v>58</v>
      </c>
      <c r="F133" s="46">
        <v>10</v>
      </c>
      <c r="G133" s="42">
        <v>27</v>
      </c>
      <c r="H133" s="42">
        <v>15.13</v>
      </c>
      <c r="I133" s="43">
        <v>42.13</v>
      </c>
      <c r="J133" s="44">
        <v>421.3</v>
      </c>
    </row>
    <row r="134" spans="2:10" ht="26.1">
      <c r="B134" s="47">
        <v>133</v>
      </c>
      <c r="C134" s="46" t="s">
        <v>319</v>
      </c>
      <c r="D134" s="33" t="s">
        <v>320</v>
      </c>
      <c r="E134" s="46" t="s">
        <v>58</v>
      </c>
      <c r="F134" s="46">
        <v>40</v>
      </c>
      <c r="G134" s="42">
        <v>50</v>
      </c>
      <c r="H134" s="42">
        <v>29.32</v>
      </c>
      <c r="I134" s="43">
        <v>79.319999999999993</v>
      </c>
      <c r="J134" s="44">
        <v>3172.7999999999997</v>
      </c>
    </row>
    <row r="135" spans="2:10" ht="26.1">
      <c r="B135" s="45">
        <v>134</v>
      </c>
      <c r="C135" s="46" t="s">
        <v>321</v>
      </c>
      <c r="D135" s="33" t="s">
        <v>322</v>
      </c>
      <c r="E135" s="46" t="s">
        <v>58</v>
      </c>
      <c r="F135" s="46">
        <v>60</v>
      </c>
      <c r="G135" s="42">
        <v>17</v>
      </c>
      <c r="H135" s="42">
        <v>15.13</v>
      </c>
      <c r="I135" s="43">
        <v>32.130000000000003</v>
      </c>
      <c r="J135" s="44">
        <v>1927.8000000000002</v>
      </c>
    </row>
    <row r="136" spans="2:10" ht="26.1">
      <c r="B136" s="47">
        <v>135</v>
      </c>
      <c r="C136" s="46" t="s">
        <v>323</v>
      </c>
      <c r="D136" s="33" t="s">
        <v>324</v>
      </c>
      <c r="E136" s="46" t="s">
        <v>58</v>
      </c>
      <c r="F136" s="46">
        <v>50</v>
      </c>
      <c r="G136" s="42">
        <v>50</v>
      </c>
      <c r="H136" s="42">
        <v>29.32</v>
      </c>
      <c r="I136" s="43">
        <v>79.319999999999993</v>
      </c>
      <c r="J136" s="44">
        <v>3965.9999999999995</v>
      </c>
    </row>
    <row r="137" spans="2:10" ht="26.1">
      <c r="B137" s="45">
        <v>136</v>
      </c>
      <c r="C137" s="46" t="s">
        <v>325</v>
      </c>
      <c r="D137" s="33" t="s">
        <v>326</v>
      </c>
      <c r="E137" s="46" t="s">
        <v>58</v>
      </c>
      <c r="F137" s="46">
        <v>10</v>
      </c>
      <c r="G137" s="42">
        <v>23.27</v>
      </c>
      <c r="H137" s="42">
        <v>13.32</v>
      </c>
      <c r="I137" s="43">
        <v>36.590000000000003</v>
      </c>
      <c r="J137" s="44">
        <v>365.90000000000003</v>
      </c>
    </row>
    <row r="138" spans="2:10" ht="26.1">
      <c r="B138" s="47">
        <v>137</v>
      </c>
      <c r="C138" s="46" t="s">
        <v>327</v>
      </c>
      <c r="D138" s="33" t="s">
        <v>328</v>
      </c>
      <c r="E138" s="46" t="s">
        <v>58</v>
      </c>
      <c r="F138" s="46">
        <v>40</v>
      </c>
      <c r="G138" s="42">
        <v>29.1</v>
      </c>
      <c r="H138" s="42">
        <v>14.88</v>
      </c>
      <c r="I138" s="43">
        <v>43.980000000000004</v>
      </c>
      <c r="J138" s="44">
        <v>1759.2000000000003</v>
      </c>
    </row>
    <row r="139" spans="2:10" ht="26.1">
      <c r="B139" s="45">
        <v>138</v>
      </c>
      <c r="C139" s="46" t="s">
        <v>329</v>
      </c>
      <c r="D139" s="33" t="s">
        <v>330</v>
      </c>
      <c r="E139" s="46" t="s">
        <v>58</v>
      </c>
      <c r="F139" s="46">
        <v>10</v>
      </c>
      <c r="G139" s="42">
        <v>36</v>
      </c>
      <c r="H139" s="42">
        <v>14.88</v>
      </c>
      <c r="I139" s="43">
        <v>50.88</v>
      </c>
      <c r="J139" s="44">
        <v>508.8</v>
      </c>
    </row>
    <row r="140" spans="2:10" ht="26.1">
      <c r="B140" s="47">
        <v>139</v>
      </c>
      <c r="C140" s="46" t="s">
        <v>331</v>
      </c>
      <c r="D140" s="33" t="s">
        <v>332</v>
      </c>
      <c r="E140" s="46" t="s">
        <v>58</v>
      </c>
      <c r="F140" s="46">
        <v>36</v>
      </c>
      <c r="G140" s="42">
        <v>37.82</v>
      </c>
      <c r="H140" s="42">
        <v>16.100000000000001</v>
      </c>
      <c r="I140" s="43">
        <v>53.92</v>
      </c>
      <c r="J140" s="44">
        <v>1941.1200000000001</v>
      </c>
    </row>
    <row r="141" spans="2:10" ht="26.1">
      <c r="B141" s="45">
        <v>140</v>
      </c>
      <c r="C141" s="46" t="s">
        <v>333</v>
      </c>
      <c r="D141" s="33" t="s">
        <v>334</v>
      </c>
      <c r="E141" s="46" t="s">
        <v>58</v>
      </c>
      <c r="F141" s="46">
        <v>10</v>
      </c>
      <c r="G141" s="42">
        <v>59.05</v>
      </c>
      <c r="H141" s="42">
        <v>24.89</v>
      </c>
      <c r="I141" s="43">
        <v>83.94</v>
      </c>
      <c r="J141" s="44">
        <v>839.4</v>
      </c>
    </row>
    <row r="142" spans="2:10" ht="26.1">
      <c r="B142" s="47">
        <v>141</v>
      </c>
      <c r="C142" s="46" t="s">
        <v>335</v>
      </c>
      <c r="D142" s="33" t="s">
        <v>336</v>
      </c>
      <c r="E142" s="46" t="s">
        <v>58</v>
      </c>
      <c r="F142" s="46">
        <v>10</v>
      </c>
      <c r="G142" s="42">
        <v>64.8</v>
      </c>
      <c r="H142" s="42">
        <v>24.89</v>
      </c>
      <c r="I142" s="43">
        <v>89.69</v>
      </c>
      <c r="J142" s="44">
        <v>896.9</v>
      </c>
    </row>
    <row r="143" spans="2:10" ht="26.1">
      <c r="B143" s="45">
        <v>142</v>
      </c>
      <c r="C143" s="46" t="s">
        <v>337</v>
      </c>
      <c r="D143" s="33" t="s">
        <v>338</v>
      </c>
      <c r="E143" s="46" t="s">
        <v>58</v>
      </c>
      <c r="F143" s="46">
        <v>40</v>
      </c>
      <c r="G143" s="42">
        <v>44</v>
      </c>
      <c r="H143" s="42">
        <v>16.100000000000001</v>
      </c>
      <c r="I143" s="43">
        <v>60.1</v>
      </c>
      <c r="J143" s="44">
        <v>2404</v>
      </c>
    </row>
    <row r="144" spans="2:10" ht="39">
      <c r="B144" s="47">
        <v>143</v>
      </c>
      <c r="C144" s="46" t="s">
        <v>339</v>
      </c>
      <c r="D144" s="33" t="s">
        <v>340</v>
      </c>
      <c r="E144" s="46" t="s">
        <v>58</v>
      </c>
      <c r="F144" s="46">
        <v>40</v>
      </c>
      <c r="G144" s="42">
        <v>40.07</v>
      </c>
      <c r="H144" s="42">
        <v>20.78</v>
      </c>
      <c r="I144" s="43">
        <v>60.85</v>
      </c>
      <c r="J144" s="44">
        <v>2434</v>
      </c>
    </row>
    <row r="145" spans="2:10" ht="39">
      <c r="B145" s="45">
        <v>144</v>
      </c>
      <c r="C145" s="46" t="s">
        <v>341</v>
      </c>
      <c r="D145" s="33" t="s">
        <v>342</v>
      </c>
      <c r="E145" s="46" t="s">
        <v>58</v>
      </c>
      <c r="F145" s="46">
        <v>10</v>
      </c>
      <c r="G145" s="42">
        <v>64.540000000000006</v>
      </c>
      <c r="H145" s="42">
        <v>32.119999999999997</v>
      </c>
      <c r="I145" s="43">
        <v>96.66</v>
      </c>
      <c r="J145" s="44">
        <v>966.59999999999991</v>
      </c>
    </row>
    <row r="146" spans="2:10" ht="26.1">
      <c r="B146" s="47">
        <v>145</v>
      </c>
      <c r="C146" s="46" t="s">
        <v>343</v>
      </c>
      <c r="D146" s="33" t="s">
        <v>344</v>
      </c>
      <c r="E146" s="46" t="s">
        <v>58</v>
      </c>
      <c r="F146" s="46">
        <v>40</v>
      </c>
      <c r="G146" s="42">
        <v>46.4</v>
      </c>
      <c r="H146" s="42">
        <v>20.78</v>
      </c>
      <c r="I146" s="43">
        <v>67.180000000000007</v>
      </c>
      <c r="J146" s="44">
        <v>2687.2000000000003</v>
      </c>
    </row>
    <row r="147" spans="2:10" ht="26.1">
      <c r="B147" s="45">
        <v>146</v>
      </c>
      <c r="C147" s="46" t="s">
        <v>345</v>
      </c>
      <c r="D147" s="33" t="s">
        <v>346</v>
      </c>
      <c r="E147" s="46" t="s">
        <v>58</v>
      </c>
      <c r="F147" s="46">
        <v>40</v>
      </c>
      <c r="G147" s="42">
        <v>72</v>
      </c>
      <c r="H147" s="42">
        <v>32.119999999999997</v>
      </c>
      <c r="I147" s="43">
        <v>104.12</v>
      </c>
      <c r="J147" s="44">
        <v>4164.8</v>
      </c>
    </row>
    <row r="148" spans="2:10" ht="26.1">
      <c r="B148" s="47">
        <v>147</v>
      </c>
      <c r="C148" s="46" t="s">
        <v>347</v>
      </c>
      <c r="D148" s="33" t="s">
        <v>348</v>
      </c>
      <c r="E148" s="46" t="s">
        <v>58</v>
      </c>
      <c r="F148" s="46">
        <v>10</v>
      </c>
      <c r="G148" s="42">
        <v>59.05</v>
      </c>
      <c r="H148" s="42">
        <v>24.89</v>
      </c>
      <c r="I148" s="43">
        <v>83.94</v>
      </c>
      <c r="J148" s="44">
        <v>839.4</v>
      </c>
    </row>
    <row r="149" spans="2:10" ht="26.1">
      <c r="B149" s="45">
        <v>148</v>
      </c>
      <c r="C149" s="46" t="s">
        <v>349</v>
      </c>
      <c r="D149" s="33" t="s">
        <v>350</v>
      </c>
      <c r="E149" s="46" t="s">
        <v>58</v>
      </c>
      <c r="F149" s="46">
        <v>50</v>
      </c>
      <c r="G149" s="42">
        <v>64</v>
      </c>
      <c r="H149" s="42">
        <v>24.89</v>
      </c>
      <c r="I149" s="43">
        <v>88.89</v>
      </c>
      <c r="J149" s="44">
        <v>4444.5</v>
      </c>
    </row>
    <row r="150" spans="2:10">
      <c r="B150" s="47">
        <v>149</v>
      </c>
      <c r="C150" s="46" t="s">
        <v>351</v>
      </c>
      <c r="D150" s="33" t="s">
        <v>352</v>
      </c>
      <c r="E150" s="46" t="s">
        <v>255</v>
      </c>
      <c r="F150" s="46">
        <v>40</v>
      </c>
      <c r="G150" s="42">
        <v>13.68</v>
      </c>
      <c r="H150" s="42">
        <v>1.56</v>
      </c>
      <c r="I150" s="43">
        <v>15.24</v>
      </c>
      <c r="J150" s="44">
        <v>609.6</v>
      </c>
    </row>
    <row r="151" spans="2:10">
      <c r="B151" s="45">
        <v>150</v>
      </c>
      <c r="C151" s="46" t="s">
        <v>353</v>
      </c>
      <c r="D151" s="33" t="s">
        <v>354</v>
      </c>
      <c r="E151" s="46" t="s">
        <v>61</v>
      </c>
      <c r="F151" s="46">
        <v>10</v>
      </c>
      <c r="G151" s="42">
        <v>74.52</v>
      </c>
      <c r="H151" s="42">
        <v>16.98</v>
      </c>
      <c r="I151" s="43">
        <v>91.5</v>
      </c>
      <c r="J151" s="44">
        <v>915</v>
      </c>
    </row>
    <row r="152" spans="2:10">
      <c r="B152" s="47">
        <v>151</v>
      </c>
      <c r="C152" s="46" t="s">
        <v>355</v>
      </c>
      <c r="D152" s="33" t="s">
        <v>356</v>
      </c>
      <c r="E152" s="46" t="s">
        <v>58</v>
      </c>
      <c r="F152" s="46">
        <v>10</v>
      </c>
      <c r="G152" s="42">
        <v>44.96</v>
      </c>
      <c r="H152" s="42">
        <v>32.78</v>
      </c>
      <c r="I152" s="43">
        <v>77.740000000000009</v>
      </c>
      <c r="J152" s="44">
        <v>777.40000000000009</v>
      </c>
    </row>
    <row r="153" spans="2:10">
      <c r="B153" s="45">
        <v>152</v>
      </c>
      <c r="C153" s="46" t="s">
        <v>357</v>
      </c>
      <c r="D153" s="33" t="s">
        <v>358</v>
      </c>
      <c r="E153" s="46" t="s">
        <v>58</v>
      </c>
      <c r="F153" s="46">
        <v>10</v>
      </c>
      <c r="G153" s="42">
        <v>44.96</v>
      </c>
      <c r="H153" s="42">
        <v>36.06</v>
      </c>
      <c r="I153" s="43">
        <v>81.02000000000001</v>
      </c>
      <c r="J153" s="44">
        <v>810.2</v>
      </c>
    </row>
    <row r="154" spans="2:10" ht="26.1">
      <c r="B154" s="47">
        <v>153</v>
      </c>
      <c r="C154" s="46" t="s">
        <v>359</v>
      </c>
      <c r="D154" s="33" t="s">
        <v>360</v>
      </c>
      <c r="E154" s="46" t="s">
        <v>58</v>
      </c>
      <c r="F154" s="46">
        <v>40</v>
      </c>
      <c r="G154" s="42">
        <v>25.14</v>
      </c>
      <c r="H154" s="42">
        <v>13.39</v>
      </c>
      <c r="I154" s="43">
        <v>38.53</v>
      </c>
      <c r="J154" s="44">
        <v>1541.2</v>
      </c>
    </row>
    <row r="155" spans="2:10" ht="26.1">
      <c r="B155" s="45">
        <v>154</v>
      </c>
      <c r="C155" s="46" t="s">
        <v>361</v>
      </c>
      <c r="D155" s="33" t="s">
        <v>362</v>
      </c>
      <c r="E155" s="46" t="s">
        <v>58</v>
      </c>
      <c r="F155" s="46">
        <v>40</v>
      </c>
      <c r="G155" s="42">
        <v>27.39</v>
      </c>
      <c r="H155" s="42">
        <v>59.08</v>
      </c>
      <c r="I155" s="43">
        <v>86.47</v>
      </c>
      <c r="J155" s="44">
        <v>3458.8</v>
      </c>
    </row>
    <row r="156" spans="2:10">
      <c r="B156" s="47">
        <v>155</v>
      </c>
      <c r="C156" s="46" t="s">
        <v>363</v>
      </c>
      <c r="D156" s="33" t="s">
        <v>364</v>
      </c>
      <c r="E156" s="46" t="s">
        <v>58</v>
      </c>
      <c r="F156" s="46">
        <v>40</v>
      </c>
      <c r="G156" s="42">
        <v>22.95</v>
      </c>
      <c r="H156" s="42">
        <v>17.27</v>
      </c>
      <c r="I156" s="43">
        <v>40.22</v>
      </c>
      <c r="J156" s="44">
        <v>1608.8</v>
      </c>
    </row>
    <row r="157" spans="2:10" ht="26.1">
      <c r="B157" s="45">
        <v>156</v>
      </c>
      <c r="C157" s="46" t="s">
        <v>365</v>
      </c>
      <c r="D157" s="33" t="s">
        <v>366</v>
      </c>
      <c r="E157" s="46" t="s">
        <v>58</v>
      </c>
      <c r="F157" s="46">
        <v>10</v>
      </c>
      <c r="G157" s="42">
        <v>22.46</v>
      </c>
      <c r="H157" s="42">
        <v>19.38</v>
      </c>
      <c r="I157" s="43">
        <v>41.84</v>
      </c>
      <c r="J157" s="44">
        <v>418.40000000000003</v>
      </c>
    </row>
    <row r="158" spans="2:10" ht="26.1">
      <c r="B158" s="47">
        <v>157</v>
      </c>
      <c r="C158" s="46" t="s">
        <v>367</v>
      </c>
      <c r="D158" s="33" t="s">
        <v>368</v>
      </c>
      <c r="E158" s="46" t="s">
        <v>58</v>
      </c>
      <c r="F158" s="46">
        <v>10</v>
      </c>
      <c r="G158" s="42">
        <v>34.32</v>
      </c>
      <c r="H158" s="42">
        <v>6.02</v>
      </c>
      <c r="I158" s="43">
        <v>40.340000000000003</v>
      </c>
      <c r="J158" s="44">
        <v>403.40000000000003</v>
      </c>
    </row>
    <row r="159" spans="2:10">
      <c r="B159" s="45">
        <v>158</v>
      </c>
      <c r="C159" s="46" t="s">
        <v>369</v>
      </c>
      <c r="D159" s="33" t="s">
        <v>370</v>
      </c>
      <c r="E159" s="46" t="s">
        <v>61</v>
      </c>
      <c r="F159" s="46">
        <v>10</v>
      </c>
      <c r="G159" s="42">
        <v>49.09</v>
      </c>
      <c r="H159" s="42">
        <v>3.28</v>
      </c>
      <c r="I159" s="43">
        <v>52.370000000000005</v>
      </c>
      <c r="J159" s="44">
        <v>523.70000000000005</v>
      </c>
    </row>
    <row r="160" spans="2:10">
      <c r="B160" s="47">
        <v>159</v>
      </c>
      <c r="C160" s="46" t="s">
        <v>371</v>
      </c>
      <c r="D160" s="33" t="s">
        <v>372</v>
      </c>
      <c r="E160" s="46" t="s">
        <v>61</v>
      </c>
      <c r="F160" s="46">
        <v>10</v>
      </c>
      <c r="G160" s="42">
        <v>86.65</v>
      </c>
      <c r="H160" s="42">
        <v>1.3</v>
      </c>
      <c r="I160" s="43">
        <v>87.95</v>
      </c>
      <c r="J160" s="44">
        <v>879.5</v>
      </c>
    </row>
    <row r="161" spans="2:10" ht="26.1">
      <c r="B161" s="45">
        <v>160</v>
      </c>
      <c r="C161" s="46" t="s">
        <v>373</v>
      </c>
      <c r="D161" s="33" t="s">
        <v>374</v>
      </c>
      <c r="E161" s="46" t="s">
        <v>61</v>
      </c>
      <c r="F161" s="46">
        <v>40</v>
      </c>
      <c r="G161" s="42">
        <v>8.07</v>
      </c>
      <c r="H161" s="42">
        <v>12.24</v>
      </c>
      <c r="I161" s="43">
        <v>20.310000000000002</v>
      </c>
      <c r="J161" s="44">
        <v>812.40000000000009</v>
      </c>
    </row>
    <row r="162" spans="2:10" ht="26.1">
      <c r="B162" s="47">
        <v>161</v>
      </c>
      <c r="C162" s="46" t="s">
        <v>375</v>
      </c>
      <c r="D162" s="33" t="s">
        <v>376</v>
      </c>
      <c r="E162" s="46" t="s">
        <v>58</v>
      </c>
      <c r="F162" s="46">
        <v>40</v>
      </c>
      <c r="G162" s="42">
        <v>34.32</v>
      </c>
      <c r="H162" s="42">
        <v>6</v>
      </c>
      <c r="I162" s="43">
        <v>40.32</v>
      </c>
      <c r="J162" s="44">
        <v>1612.8</v>
      </c>
    </row>
    <row r="163" spans="2:10">
      <c r="B163" s="45">
        <v>162</v>
      </c>
      <c r="C163" s="46" t="s">
        <v>377</v>
      </c>
      <c r="D163" s="33" t="s">
        <v>378</v>
      </c>
      <c r="E163" s="46" t="s">
        <v>58</v>
      </c>
      <c r="F163" s="46">
        <v>10</v>
      </c>
      <c r="G163" s="42">
        <v>1.18</v>
      </c>
      <c r="H163" s="42">
        <v>5.7</v>
      </c>
      <c r="I163" s="43">
        <v>6.88</v>
      </c>
      <c r="J163" s="44">
        <v>68.8</v>
      </c>
    </row>
    <row r="164" spans="2:10" ht="26.1">
      <c r="B164" s="47">
        <v>163</v>
      </c>
      <c r="C164" s="46" t="s">
        <v>379</v>
      </c>
      <c r="D164" s="33" t="s">
        <v>380</v>
      </c>
      <c r="E164" s="46" t="s">
        <v>58</v>
      </c>
      <c r="F164" s="46">
        <v>10</v>
      </c>
      <c r="G164" s="42">
        <v>144.97999999999999</v>
      </c>
      <c r="H164" s="42">
        <v>1.5</v>
      </c>
      <c r="I164" s="43">
        <v>146.47999999999999</v>
      </c>
      <c r="J164" s="44">
        <v>1464.8</v>
      </c>
    </row>
    <row r="165" spans="2:10">
      <c r="B165" s="45">
        <v>164</v>
      </c>
      <c r="C165" s="46" t="s">
        <v>381</v>
      </c>
      <c r="D165" s="33" t="s">
        <v>382</v>
      </c>
      <c r="E165" s="46" t="s">
        <v>61</v>
      </c>
      <c r="F165" s="46">
        <v>10</v>
      </c>
      <c r="G165" s="42">
        <v>116.12</v>
      </c>
      <c r="H165" s="42">
        <v>6.5</v>
      </c>
      <c r="I165" s="43">
        <v>122.62</v>
      </c>
      <c r="J165" s="44">
        <v>1226.2</v>
      </c>
    </row>
    <row r="166" spans="2:10">
      <c r="B166" s="47">
        <v>165</v>
      </c>
      <c r="C166" s="46" t="s">
        <v>383</v>
      </c>
      <c r="D166" s="33" t="s">
        <v>384</v>
      </c>
      <c r="E166" s="46" t="s">
        <v>61</v>
      </c>
      <c r="F166" s="46">
        <v>10</v>
      </c>
      <c r="G166" s="42">
        <v>24.4</v>
      </c>
      <c r="H166" s="42">
        <v>9.5</v>
      </c>
      <c r="I166" s="43">
        <v>33.9</v>
      </c>
      <c r="J166" s="44">
        <v>339</v>
      </c>
    </row>
    <row r="167" spans="2:10">
      <c r="B167" s="45">
        <v>166</v>
      </c>
      <c r="C167" s="46" t="s">
        <v>385</v>
      </c>
      <c r="D167" s="33" t="s">
        <v>386</v>
      </c>
      <c r="E167" s="46" t="s">
        <v>61</v>
      </c>
      <c r="F167" s="46">
        <v>10</v>
      </c>
      <c r="G167" s="42">
        <v>42.42</v>
      </c>
      <c r="H167" s="42">
        <v>52.19</v>
      </c>
      <c r="I167" s="43">
        <v>94.61</v>
      </c>
      <c r="J167" s="44">
        <v>946.1</v>
      </c>
    </row>
    <row r="168" spans="2:10">
      <c r="B168" s="47">
        <v>167</v>
      </c>
      <c r="C168" s="46" t="s">
        <v>387</v>
      </c>
      <c r="D168" s="33" t="s">
        <v>388</v>
      </c>
      <c r="E168" s="46" t="s">
        <v>58</v>
      </c>
      <c r="F168" s="46">
        <v>10</v>
      </c>
      <c r="G168" s="42">
        <v>137.38</v>
      </c>
      <c r="H168" s="42">
        <v>10.9</v>
      </c>
      <c r="I168" s="43">
        <v>148.28</v>
      </c>
      <c r="J168" s="44">
        <v>1482.8</v>
      </c>
    </row>
    <row r="169" spans="2:10" ht="26.1">
      <c r="B169" s="45">
        <v>168</v>
      </c>
      <c r="C169" s="46" t="s">
        <v>389</v>
      </c>
      <c r="D169" s="33" t="s">
        <v>390</v>
      </c>
      <c r="E169" s="46" t="s">
        <v>58</v>
      </c>
      <c r="F169" s="46">
        <v>10</v>
      </c>
      <c r="G169" s="42">
        <v>169.5</v>
      </c>
      <c r="H169" s="42">
        <v>172</v>
      </c>
      <c r="I169" s="43">
        <v>341.5</v>
      </c>
      <c r="J169" s="44">
        <v>3415</v>
      </c>
    </row>
    <row r="170" spans="2:10">
      <c r="B170" s="47">
        <v>169</v>
      </c>
      <c r="C170" s="46" t="s">
        <v>391</v>
      </c>
      <c r="D170" s="33" t="s">
        <v>392</v>
      </c>
      <c r="E170" s="46" t="s">
        <v>58</v>
      </c>
      <c r="F170" s="46">
        <v>10</v>
      </c>
      <c r="G170" s="42">
        <v>275</v>
      </c>
      <c r="H170" s="42">
        <v>57.8</v>
      </c>
      <c r="I170" s="43">
        <v>332.8</v>
      </c>
      <c r="J170" s="44">
        <v>3328</v>
      </c>
    </row>
    <row r="171" spans="2:10" ht="26.1">
      <c r="B171" s="45">
        <v>170</v>
      </c>
      <c r="C171" s="46" t="s">
        <v>393</v>
      </c>
      <c r="D171" s="33" t="s">
        <v>394</v>
      </c>
      <c r="E171" s="46" t="s">
        <v>159</v>
      </c>
      <c r="F171" s="46">
        <v>2</v>
      </c>
      <c r="G171" s="42">
        <v>540.32000000000005</v>
      </c>
      <c r="H171" s="42"/>
      <c r="I171" s="43">
        <v>540.32000000000005</v>
      </c>
      <c r="J171" s="44">
        <v>1080.6400000000001</v>
      </c>
    </row>
    <row r="172" spans="2:10" ht="26.1">
      <c r="B172" s="47">
        <v>171</v>
      </c>
      <c r="C172" s="46" t="s">
        <v>395</v>
      </c>
      <c r="D172" s="33" t="s">
        <v>396</v>
      </c>
      <c r="E172" s="46" t="s">
        <v>159</v>
      </c>
      <c r="F172" s="46">
        <v>2</v>
      </c>
      <c r="G172" s="42">
        <v>540.32000000000005</v>
      </c>
      <c r="H172" s="42"/>
      <c r="I172" s="43">
        <v>540.32000000000005</v>
      </c>
      <c r="J172" s="44">
        <v>1080.6400000000001</v>
      </c>
    </row>
    <row r="173" spans="2:10" ht="26.1">
      <c r="B173" s="45">
        <v>172</v>
      </c>
      <c r="C173" s="46" t="s">
        <v>397</v>
      </c>
      <c r="D173" s="33" t="s">
        <v>398</v>
      </c>
      <c r="E173" s="46" t="s">
        <v>159</v>
      </c>
      <c r="F173" s="46">
        <v>2</v>
      </c>
      <c r="G173" s="42">
        <v>658.1</v>
      </c>
      <c r="H173" s="42"/>
      <c r="I173" s="43">
        <v>658.1</v>
      </c>
      <c r="J173" s="44">
        <v>1316.2</v>
      </c>
    </row>
    <row r="174" spans="2:10">
      <c r="B174" s="47">
        <v>173</v>
      </c>
      <c r="C174" s="46" t="s">
        <v>399</v>
      </c>
      <c r="D174" s="33" t="s">
        <v>400</v>
      </c>
      <c r="E174" s="46" t="s">
        <v>58</v>
      </c>
      <c r="F174" s="46">
        <v>2</v>
      </c>
      <c r="G174" s="42">
        <v>32.340000000000003</v>
      </c>
      <c r="H174" s="42"/>
      <c r="I174" s="43">
        <v>32.340000000000003</v>
      </c>
      <c r="J174" s="44">
        <v>64.680000000000007</v>
      </c>
    </row>
    <row r="175" spans="2:10">
      <c r="B175" s="45">
        <v>174</v>
      </c>
      <c r="C175" s="46" t="s">
        <v>401</v>
      </c>
      <c r="D175" s="33" t="s">
        <v>402</v>
      </c>
      <c r="E175" s="46" t="s">
        <v>61</v>
      </c>
      <c r="F175" s="46">
        <v>10</v>
      </c>
      <c r="G175" s="42">
        <v>51.9</v>
      </c>
      <c r="H175" s="42">
        <v>12.48</v>
      </c>
      <c r="I175" s="43">
        <v>64.38</v>
      </c>
      <c r="J175" s="44">
        <v>643.79999999999995</v>
      </c>
    </row>
    <row r="176" spans="2:10">
      <c r="B176" s="47">
        <v>175</v>
      </c>
      <c r="C176" s="46" t="s">
        <v>403</v>
      </c>
      <c r="D176" s="33" t="s">
        <v>404</v>
      </c>
      <c r="E176" s="46" t="s">
        <v>58</v>
      </c>
      <c r="F176" s="46">
        <v>2</v>
      </c>
      <c r="G176" s="42">
        <v>272</v>
      </c>
      <c r="H176" s="42">
        <v>12</v>
      </c>
      <c r="I176" s="43">
        <v>284</v>
      </c>
      <c r="J176" s="44">
        <v>568</v>
      </c>
    </row>
    <row r="177" spans="2:10">
      <c r="B177" s="45">
        <v>176</v>
      </c>
      <c r="C177" s="46" t="s">
        <v>405</v>
      </c>
      <c r="D177" s="33" t="s">
        <v>406</v>
      </c>
      <c r="E177" s="46" t="s">
        <v>58</v>
      </c>
      <c r="F177" s="46">
        <v>12</v>
      </c>
      <c r="G177" s="42">
        <v>465.17</v>
      </c>
      <c r="H177" s="42">
        <v>36.299999999999997</v>
      </c>
      <c r="I177" s="43">
        <v>501.47</v>
      </c>
      <c r="J177" s="44">
        <v>6017.64</v>
      </c>
    </row>
    <row r="178" spans="2:10">
      <c r="B178" s="47">
        <v>177</v>
      </c>
      <c r="C178" s="46" t="s">
        <v>407</v>
      </c>
      <c r="D178" s="33" t="s">
        <v>408</v>
      </c>
      <c r="E178" s="46" t="s">
        <v>58</v>
      </c>
      <c r="F178" s="46">
        <v>10</v>
      </c>
      <c r="G178" s="42">
        <v>186.3</v>
      </c>
      <c r="H178" s="42">
        <v>29.6</v>
      </c>
      <c r="I178" s="43">
        <v>215.9</v>
      </c>
      <c r="J178" s="44">
        <v>2159</v>
      </c>
    </row>
    <row r="179" spans="2:10">
      <c r="B179" s="45">
        <v>178</v>
      </c>
      <c r="C179" s="46" t="s">
        <v>409</v>
      </c>
      <c r="D179" s="33" t="s">
        <v>410</v>
      </c>
      <c r="E179" s="46" t="s">
        <v>58</v>
      </c>
      <c r="F179" s="46">
        <v>2</v>
      </c>
      <c r="G179" s="42">
        <v>378.18</v>
      </c>
      <c r="H179" s="42">
        <v>27.46</v>
      </c>
      <c r="I179" s="43">
        <v>405.64</v>
      </c>
      <c r="J179" s="44">
        <v>811.28</v>
      </c>
    </row>
    <row r="180" spans="2:10">
      <c r="B180" s="47">
        <v>179</v>
      </c>
      <c r="C180" s="46" t="s">
        <v>411</v>
      </c>
      <c r="D180" s="33" t="s">
        <v>412</v>
      </c>
      <c r="E180" s="46" t="s">
        <v>58</v>
      </c>
      <c r="F180" s="46">
        <v>2</v>
      </c>
      <c r="G180" s="42">
        <v>289.92</v>
      </c>
      <c r="H180" s="42">
        <v>27.46</v>
      </c>
      <c r="I180" s="43">
        <v>317.38</v>
      </c>
      <c r="J180" s="44">
        <v>634.76</v>
      </c>
    </row>
    <row r="181" spans="2:10" ht="26.1">
      <c r="B181" s="45">
        <v>180</v>
      </c>
      <c r="C181" s="46" t="s">
        <v>413</v>
      </c>
      <c r="D181" s="33" t="s">
        <v>414</v>
      </c>
      <c r="E181" s="46" t="s">
        <v>159</v>
      </c>
      <c r="F181" s="46">
        <v>10</v>
      </c>
      <c r="G181" s="42">
        <v>803.85</v>
      </c>
      <c r="H181" s="42"/>
      <c r="I181" s="43">
        <v>803.85</v>
      </c>
      <c r="J181" s="44">
        <v>8038.5</v>
      </c>
    </row>
    <row r="182" spans="2:10" ht="26.1">
      <c r="B182" s="47">
        <v>181</v>
      </c>
      <c r="C182" s="46" t="s">
        <v>415</v>
      </c>
      <c r="D182" s="33" t="s">
        <v>416</v>
      </c>
      <c r="E182" s="46" t="s">
        <v>159</v>
      </c>
      <c r="F182" s="46">
        <v>10</v>
      </c>
      <c r="G182" s="42">
        <v>998.45</v>
      </c>
      <c r="H182" s="42"/>
      <c r="I182" s="43">
        <v>998.45</v>
      </c>
      <c r="J182" s="44">
        <v>9984.5</v>
      </c>
    </row>
    <row r="183" spans="2:10">
      <c r="B183" s="45">
        <v>182</v>
      </c>
      <c r="C183" s="46" t="s">
        <v>417</v>
      </c>
      <c r="D183" s="33" t="s">
        <v>418</v>
      </c>
      <c r="E183" s="46" t="s">
        <v>58</v>
      </c>
      <c r="F183" s="46">
        <v>2</v>
      </c>
      <c r="G183" s="42">
        <v>114.78</v>
      </c>
      <c r="H183" s="42">
        <v>80.900000000000006</v>
      </c>
      <c r="I183" s="43">
        <v>195.68</v>
      </c>
      <c r="J183" s="44">
        <v>391.36</v>
      </c>
    </row>
    <row r="184" spans="2:10">
      <c r="B184" s="47">
        <v>183</v>
      </c>
      <c r="C184" s="46" t="s">
        <v>419</v>
      </c>
      <c r="D184" s="33" t="s">
        <v>420</v>
      </c>
      <c r="E184" s="46" t="s">
        <v>159</v>
      </c>
      <c r="F184" s="46">
        <v>10</v>
      </c>
      <c r="G184" s="42">
        <v>10.55</v>
      </c>
      <c r="H184" s="42">
        <v>6.3</v>
      </c>
      <c r="I184" s="43">
        <v>16.850000000000001</v>
      </c>
      <c r="J184" s="44">
        <v>168.5</v>
      </c>
    </row>
    <row r="185" spans="2:10" ht="26.1">
      <c r="B185" s="45">
        <v>184</v>
      </c>
      <c r="C185" s="46" t="s">
        <v>421</v>
      </c>
      <c r="D185" s="33" t="s">
        <v>422</v>
      </c>
      <c r="E185" s="46" t="s">
        <v>159</v>
      </c>
      <c r="F185" s="46">
        <v>2</v>
      </c>
      <c r="G185" s="42">
        <v>1170.45</v>
      </c>
      <c r="H185" s="42"/>
      <c r="I185" s="43">
        <v>1170.45</v>
      </c>
      <c r="J185" s="44">
        <v>2340.9</v>
      </c>
    </row>
    <row r="186" spans="2:10" ht="26.1">
      <c r="B186" s="47">
        <v>185</v>
      </c>
      <c r="C186" s="46" t="s">
        <v>423</v>
      </c>
      <c r="D186" s="33" t="s">
        <v>424</v>
      </c>
      <c r="E186" s="46" t="s">
        <v>159</v>
      </c>
      <c r="F186" s="46">
        <v>2</v>
      </c>
      <c r="G186" s="42">
        <v>885.45</v>
      </c>
      <c r="H186" s="42"/>
      <c r="I186" s="43">
        <v>885.45</v>
      </c>
      <c r="J186" s="44">
        <v>1770.9</v>
      </c>
    </row>
    <row r="187" spans="2:10" ht="26.1">
      <c r="B187" s="45">
        <v>186</v>
      </c>
      <c r="C187" s="46" t="s">
        <v>425</v>
      </c>
      <c r="D187" s="33" t="s">
        <v>426</v>
      </c>
      <c r="E187" s="46" t="s">
        <v>159</v>
      </c>
      <c r="F187" s="46">
        <v>2</v>
      </c>
      <c r="G187" s="42">
        <v>435</v>
      </c>
      <c r="H187" s="42"/>
      <c r="I187" s="43">
        <v>435</v>
      </c>
      <c r="J187" s="44">
        <v>870</v>
      </c>
    </row>
    <row r="188" spans="2:10" ht="26.1">
      <c r="B188" s="47">
        <v>187</v>
      </c>
      <c r="C188" s="46" t="s">
        <v>427</v>
      </c>
      <c r="D188" s="33" t="s">
        <v>428</v>
      </c>
      <c r="E188" s="46" t="s">
        <v>159</v>
      </c>
      <c r="F188" s="46">
        <v>2</v>
      </c>
      <c r="G188" s="42">
        <v>610</v>
      </c>
      <c r="H188" s="42"/>
      <c r="I188" s="43">
        <v>610</v>
      </c>
      <c r="J188" s="44">
        <v>1220</v>
      </c>
    </row>
    <row r="189" spans="2:10">
      <c r="B189" s="45">
        <v>188</v>
      </c>
      <c r="C189" s="46" t="s">
        <v>429</v>
      </c>
      <c r="D189" s="33" t="s">
        <v>430</v>
      </c>
      <c r="E189" s="46" t="s">
        <v>58</v>
      </c>
      <c r="F189" s="46">
        <v>10</v>
      </c>
      <c r="G189" s="42">
        <v>321.89999999999998</v>
      </c>
      <c r="H189" s="42"/>
      <c r="I189" s="43">
        <v>321.89999999999998</v>
      </c>
      <c r="J189" s="44">
        <v>3219</v>
      </c>
    </row>
    <row r="190" spans="2:10">
      <c r="B190" s="47">
        <v>189</v>
      </c>
      <c r="C190" s="46" t="s">
        <v>431</v>
      </c>
      <c r="D190" s="33" t="s">
        <v>432</v>
      </c>
      <c r="E190" s="46" t="s">
        <v>58</v>
      </c>
      <c r="F190" s="46">
        <v>10</v>
      </c>
      <c r="G190" s="42">
        <v>475</v>
      </c>
      <c r="H190" s="42"/>
      <c r="I190" s="43">
        <v>475</v>
      </c>
      <c r="J190" s="44">
        <v>4750</v>
      </c>
    </row>
    <row r="191" spans="2:10">
      <c r="B191" s="45">
        <v>190</v>
      </c>
      <c r="C191" s="46" t="s">
        <v>433</v>
      </c>
      <c r="D191" s="33" t="s">
        <v>434</v>
      </c>
      <c r="E191" s="46" t="s">
        <v>58</v>
      </c>
      <c r="F191" s="46">
        <v>10</v>
      </c>
      <c r="G191" s="42">
        <v>260</v>
      </c>
      <c r="H191" s="42">
        <v>8.19</v>
      </c>
      <c r="I191" s="43">
        <v>268.19</v>
      </c>
      <c r="J191" s="44">
        <v>2681.9</v>
      </c>
    </row>
    <row r="192" spans="2:10">
      <c r="B192" s="47">
        <v>191</v>
      </c>
      <c r="C192" s="46" t="s">
        <v>435</v>
      </c>
      <c r="D192" s="33" t="s">
        <v>436</v>
      </c>
      <c r="E192" s="46" t="s">
        <v>58</v>
      </c>
      <c r="F192" s="46">
        <v>10</v>
      </c>
      <c r="G192" s="42">
        <v>3.54</v>
      </c>
      <c r="H192" s="42">
        <v>5.47</v>
      </c>
      <c r="I192" s="43">
        <v>9.01</v>
      </c>
      <c r="J192" s="44">
        <v>90.1</v>
      </c>
    </row>
    <row r="193" spans="2:10" ht="26.1">
      <c r="B193" s="45">
        <v>192</v>
      </c>
      <c r="C193" s="46" t="s">
        <v>437</v>
      </c>
      <c r="D193" s="33" t="s">
        <v>438</v>
      </c>
      <c r="E193" s="46" t="s">
        <v>61</v>
      </c>
      <c r="F193" s="46">
        <v>40</v>
      </c>
      <c r="G193" s="42">
        <v>4.78</v>
      </c>
      <c r="H193" s="42">
        <v>4.84</v>
      </c>
      <c r="I193" s="43">
        <v>9.620000000000001</v>
      </c>
      <c r="J193" s="44">
        <v>384.80000000000007</v>
      </c>
    </row>
    <row r="194" spans="2:10">
      <c r="B194" s="47">
        <v>193</v>
      </c>
      <c r="C194" s="46" t="s">
        <v>439</v>
      </c>
      <c r="D194" s="33" t="s">
        <v>440</v>
      </c>
      <c r="E194" s="46" t="s">
        <v>58</v>
      </c>
      <c r="F194" s="46">
        <v>10</v>
      </c>
      <c r="G194" s="42">
        <v>10.96</v>
      </c>
      <c r="H194" s="42">
        <v>12.96</v>
      </c>
      <c r="I194" s="43">
        <v>23.92</v>
      </c>
      <c r="J194" s="44">
        <v>239.20000000000002</v>
      </c>
    </row>
    <row r="195" spans="2:10">
      <c r="B195" s="45">
        <v>194</v>
      </c>
      <c r="C195" s="46" t="s">
        <v>441</v>
      </c>
      <c r="D195" s="33" t="s">
        <v>442</v>
      </c>
      <c r="E195" s="46" t="s">
        <v>58</v>
      </c>
      <c r="F195" s="46">
        <v>10</v>
      </c>
      <c r="G195" s="42">
        <v>10.28</v>
      </c>
      <c r="H195" s="42">
        <v>12.96</v>
      </c>
      <c r="I195" s="43">
        <v>23.240000000000002</v>
      </c>
      <c r="J195" s="44">
        <v>232.40000000000003</v>
      </c>
    </row>
    <row r="196" spans="2:10">
      <c r="B196" s="47">
        <v>195</v>
      </c>
      <c r="C196" s="46" t="s">
        <v>443</v>
      </c>
      <c r="D196" s="33" t="s">
        <v>444</v>
      </c>
      <c r="E196" s="46" t="s">
        <v>58</v>
      </c>
      <c r="F196" s="46">
        <v>50</v>
      </c>
      <c r="G196" s="42">
        <v>7.54</v>
      </c>
      <c r="H196" s="42">
        <v>9.7799999999999994</v>
      </c>
      <c r="I196" s="43">
        <v>17.32</v>
      </c>
      <c r="J196" s="44">
        <v>866</v>
      </c>
    </row>
    <row r="197" spans="2:10">
      <c r="B197" s="45">
        <v>196</v>
      </c>
      <c r="C197" s="46" t="s">
        <v>445</v>
      </c>
      <c r="D197" s="33" t="s">
        <v>446</v>
      </c>
      <c r="E197" s="46" t="s">
        <v>58</v>
      </c>
      <c r="F197" s="46">
        <v>50</v>
      </c>
      <c r="G197" s="42">
        <v>4.63</v>
      </c>
      <c r="H197" s="42">
        <v>12.65</v>
      </c>
      <c r="I197" s="43">
        <v>17.28</v>
      </c>
      <c r="J197" s="44">
        <v>864</v>
      </c>
    </row>
    <row r="198" spans="2:10">
      <c r="B198" s="47">
        <v>197</v>
      </c>
      <c r="C198" s="46" t="s">
        <v>447</v>
      </c>
      <c r="D198" s="33" t="s">
        <v>448</v>
      </c>
      <c r="E198" s="46" t="s">
        <v>58</v>
      </c>
      <c r="F198" s="46">
        <v>50</v>
      </c>
      <c r="G198" s="42">
        <v>12.96</v>
      </c>
      <c r="H198" s="42">
        <v>15.96</v>
      </c>
      <c r="I198" s="43">
        <v>28.92</v>
      </c>
      <c r="J198" s="44">
        <v>1446</v>
      </c>
    </row>
    <row r="199" spans="2:10">
      <c r="B199" s="45">
        <v>198</v>
      </c>
      <c r="C199" s="46" t="s">
        <v>449</v>
      </c>
      <c r="D199" s="33" t="s">
        <v>450</v>
      </c>
      <c r="E199" s="46" t="s">
        <v>58</v>
      </c>
      <c r="F199" s="46">
        <v>50</v>
      </c>
      <c r="G199" s="42">
        <v>12.28</v>
      </c>
      <c r="H199" s="42">
        <v>15.96</v>
      </c>
      <c r="I199" s="43">
        <v>28.240000000000002</v>
      </c>
      <c r="J199" s="44">
        <v>1412</v>
      </c>
    </row>
    <row r="200" spans="2:10">
      <c r="B200" s="47">
        <v>199</v>
      </c>
      <c r="C200" s="46" t="s">
        <v>451</v>
      </c>
      <c r="D200" s="33" t="s">
        <v>452</v>
      </c>
      <c r="E200" s="46" t="s">
        <v>58</v>
      </c>
      <c r="F200" s="46">
        <v>10</v>
      </c>
      <c r="G200" s="42">
        <v>6.26</v>
      </c>
      <c r="H200" s="42">
        <v>6.48</v>
      </c>
      <c r="I200" s="43">
        <v>12.74</v>
      </c>
      <c r="J200" s="44">
        <v>127.4</v>
      </c>
    </row>
    <row r="201" spans="2:10">
      <c r="B201" s="45">
        <v>200</v>
      </c>
      <c r="C201" s="46" t="s">
        <v>453</v>
      </c>
      <c r="D201" s="33" t="s">
        <v>454</v>
      </c>
      <c r="E201" s="46" t="s">
        <v>58</v>
      </c>
      <c r="F201" s="46">
        <v>40</v>
      </c>
      <c r="G201" s="42">
        <v>19.68</v>
      </c>
      <c r="H201" s="42">
        <v>7.28</v>
      </c>
      <c r="I201" s="43">
        <v>26.96</v>
      </c>
      <c r="J201" s="44">
        <v>1078.4000000000001</v>
      </c>
    </row>
    <row r="202" spans="2:10">
      <c r="B202" s="47">
        <v>201</v>
      </c>
      <c r="C202" s="46" t="s">
        <v>455</v>
      </c>
      <c r="D202" s="33" t="s">
        <v>456</v>
      </c>
      <c r="E202" s="46" t="s">
        <v>58</v>
      </c>
      <c r="F202" s="46">
        <v>10</v>
      </c>
      <c r="G202" s="42">
        <v>8.94</v>
      </c>
      <c r="H202" s="42">
        <v>4.83</v>
      </c>
      <c r="I202" s="43">
        <v>13.77</v>
      </c>
      <c r="J202" s="44">
        <v>137.69999999999999</v>
      </c>
    </row>
    <row r="203" spans="2:10">
      <c r="B203" s="45">
        <v>202</v>
      </c>
      <c r="C203" s="46" t="s">
        <v>457</v>
      </c>
      <c r="D203" s="33" t="s">
        <v>458</v>
      </c>
      <c r="E203" s="46" t="s">
        <v>58</v>
      </c>
      <c r="F203" s="46">
        <v>10</v>
      </c>
      <c r="G203" s="42">
        <v>8.48</v>
      </c>
      <c r="H203" s="42">
        <v>7.13</v>
      </c>
      <c r="I203" s="43">
        <v>15.61</v>
      </c>
      <c r="J203" s="44">
        <v>156.1</v>
      </c>
    </row>
    <row r="204" spans="2:10" ht="26.1">
      <c r="B204" s="47">
        <v>203</v>
      </c>
      <c r="C204" s="46" t="s">
        <v>459</v>
      </c>
      <c r="D204" s="33" t="s">
        <v>460</v>
      </c>
      <c r="E204" s="46" t="s">
        <v>61</v>
      </c>
      <c r="F204" s="46">
        <v>10</v>
      </c>
      <c r="G204" s="42">
        <v>74</v>
      </c>
      <c r="H204" s="42">
        <v>17</v>
      </c>
      <c r="I204" s="43">
        <v>91</v>
      </c>
      <c r="J204" s="44">
        <v>910</v>
      </c>
    </row>
    <row r="205" spans="2:10" ht="26.1">
      <c r="B205" s="45">
        <v>204</v>
      </c>
      <c r="C205" s="46" t="s">
        <v>461</v>
      </c>
      <c r="D205" s="33" t="s">
        <v>462</v>
      </c>
      <c r="E205" s="46" t="s">
        <v>61</v>
      </c>
      <c r="F205" s="46">
        <v>10</v>
      </c>
      <c r="G205" s="42">
        <v>123</v>
      </c>
      <c r="H205" s="42">
        <v>12.78</v>
      </c>
      <c r="I205" s="43">
        <v>135.78</v>
      </c>
      <c r="J205" s="44">
        <v>1357.8</v>
      </c>
    </row>
    <row r="206" spans="2:10" ht="26.1">
      <c r="B206" s="47">
        <v>205</v>
      </c>
      <c r="C206" s="46" t="s">
        <v>463</v>
      </c>
      <c r="D206" s="33" t="s">
        <v>464</v>
      </c>
      <c r="E206" s="46" t="s">
        <v>58</v>
      </c>
      <c r="F206" s="46">
        <v>10</v>
      </c>
      <c r="G206" s="42">
        <v>262</v>
      </c>
      <c r="H206" s="42">
        <v>23.7</v>
      </c>
      <c r="I206" s="43">
        <v>285.7</v>
      </c>
      <c r="J206" s="44">
        <v>2857</v>
      </c>
    </row>
    <row r="207" spans="2:10" ht="26.1">
      <c r="B207" s="45">
        <v>206</v>
      </c>
      <c r="C207" s="46" t="s">
        <v>465</v>
      </c>
      <c r="D207" s="33" t="s">
        <v>466</v>
      </c>
      <c r="E207" s="46" t="s">
        <v>58</v>
      </c>
      <c r="F207" s="46">
        <v>10</v>
      </c>
      <c r="G207" s="42">
        <v>56</v>
      </c>
      <c r="H207" s="42"/>
      <c r="I207" s="43">
        <v>56</v>
      </c>
      <c r="J207" s="44">
        <v>560</v>
      </c>
    </row>
    <row r="208" spans="2:10" ht="26.1">
      <c r="B208" s="47">
        <v>207</v>
      </c>
      <c r="C208" s="46" t="s">
        <v>467</v>
      </c>
      <c r="D208" s="33" t="s">
        <v>468</v>
      </c>
      <c r="E208" s="46" t="s">
        <v>58</v>
      </c>
      <c r="F208" s="46">
        <v>10</v>
      </c>
      <c r="G208" s="42">
        <v>56</v>
      </c>
      <c r="H208" s="42"/>
      <c r="I208" s="43">
        <v>56</v>
      </c>
      <c r="J208" s="44">
        <v>560</v>
      </c>
    </row>
    <row r="209" spans="2:10">
      <c r="B209" s="45">
        <v>208</v>
      </c>
      <c r="C209" s="46" t="s">
        <v>469</v>
      </c>
      <c r="D209" s="33" t="s">
        <v>470</v>
      </c>
      <c r="E209" s="46" t="s">
        <v>58</v>
      </c>
      <c r="F209" s="46">
        <v>40</v>
      </c>
      <c r="G209" s="42">
        <v>31</v>
      </c>
      <c r="H209" s="42"/>
      <c r="I209" s="43">
        <v>31</v>
      </c>
      <c r="J209" s="44">
        <v>1240</v>
      </c>
    </row>
    <row r="210" spans="2:10">
      <c r="B210" s="47">
        <v>209</v>
      </c>
      <c r="C210" s="46" t="s">
        <v>471</v>
      </c>
      <c r="D210" s="33" t="s">
        <v>472</v>
      </c>
      <c r="E210" s="46" t="s">
        <v>61</v>
      </c>
      <c r="F210" s="46">
        <v>40</v>
      </c>
      <c r="G210" s="42">
        <v>5.6</v>
      </c>
      <c r="H210" s="42"/>
      <c r="I210" s="43">
        <v>5.6</v>
      </c>
      <c r="J210" s="44">
        <v>224</v>
      </c>
    </row>
    <row r="211" spans="2:10" ht="26.1">
      <c r="B211" s="45">
        <v>210</v>
      </c>
      <c r="C211" s="46" t="s">
        <v>473</v>
      </c>
      <c r="D211" s="33" t="s">
        <v>474</v>
      </c>
      <c r="E211" s="46" t="s">
        <v>58</v>
      </c>
      <c r="F211" s="46">
        <v>40</v>
      </c>
      <c r="G211" s="42">
        <v>9.1</v>
      </c>
      <c r="H211" s="42">
        <v>12</v>
      </c>
      <c r="I211" s="43">
        <v>21.1</v>
      </c>
      <c r="J211" s="44">
        <v>844</v>
      </c>
    </row>
    <row r="212" spans="2:10" ht="26.1">
      <c r="B212" s="47">
        <v>211</v>
      </c>
      <c r="C212" s="46" t="s">
        <v>475</v>
      </c>
      <c r="D212" s="33" t="s">
        <v>476</v>
      </c>
      <c r="E212" s="46" t="s">
        <v>61</v>
      </c>
      <c r="F212" s="46">
        <v>40</v>
      </c>
      <c r="G212" s="42">
        <v>1.3</v>
      </c>
      <c r="H212" s="42">
        <v>6.4</v>
      </c>
      <c r="I212" s="43">
        <v>7.7</v>
      </c>
      <c r="J212" s="44">
        <v>308</v>
      </c>
    </row>
    <row r="213" spans="2:10" ht="26.1">
      <c r="B213" s="45">
        <v>212</v>
      </c>
      <c r="C213" s="46" t="s">
        <v>477</v>
      </c>
      <c r="D213" s="33" t="s">
        <v>478</v>
      </c>
      <c r="E213" s="46" t="s">
        <v>58</v>
      </c>
      <c r="F213" s="46">
        <v>40</v>
      </c>
      <c r="G213" s="42">
        <v>11.8</v>
      </c>
      <c r="H213" s="42">
        <v>12</v>
      </c>
      <c r="I213" s="43">
        <v>23.8</v>
      </c>
      <c r="J213" s="44">
        <v>952</v>
      </c>
    </row>
    <row r="214" spans="2:10" ht="26.1">
      <c r="B214" s="47">
        <v>213</v>
      </c>
      <c r="C214" s="46" t="s">
        <v>479</v>
      </c>
      <c r="D214" s="33" t="s">
        <v>480</v>
      </c>
      <c r="E214" s="46" t="s">
        <v>58</v>
      </c>
      <c r="F214" s="46">
        <v>40</v>
      </c>
      <c r="G214" s="42">
        <v>39</v>
      </c>
      <c r="H214" s="42">
        <v>17.329999999999998</v>
      </c>
      <c r="I214" s="43">
        <v>56.33</v>
      </c>
      <c r="J214" s="44">
        <v>2253.1999999999998</v>
      </c>
    </row>
    <row r="215" spans="2:10">
      <c r="B215" s="45">
        <v>214</v>
      </c>
      <c r="C215" s="46" t="s">
        <v>481</v>
      </c>
      <c r="D215" s="33" t="s">
        <v>482</v>
      </c>
      <c r="E215" s="46" t="s">
        <v>58</v>
      </c>
      <c r="F215" s="46">
        <v>40</v>
      </c>
      <c r="G215" s="42">
        <v>45</v>
      </c>
      <c r="H215" s="42">
        <v>17.329999999999998</v>
      </c>
      <c r="I215" s="43">
        <v>62.33</v>
      </c>
      <c r="J215" s="44">
        <v>2493.1999999999998</v>
      </c>
    </row>
    <row r="216" spans="2:10">
      <c r="B216" s="47">
        <v>215</v>
      </c>
      <c r="C216" s="46" t="s">
        <v>483</v>
      </c>
      <c r="D216" s="33" t="s">
        <v>484</v>
      </c>
      <c r="E216" s="46" t="s">
        <v>58</v>
      </c>
      <c r="F216" s="46">
        <v>40</v>
      </c>
      <c r="G216" s="42">
        <v>2.6</v>
      </c>
      <c r="H216" s="42">
        <v>3.82</v>
      </c>
      <c r="I216" s="43">
        <v>6.42</v>
      </c>
      <c r="J216" s="44">
        <v>256.8</v>
      </c>
    </row>
    <row r="217" spans="2:10">
      <c r="B217" s="45">
        <v>216</v>
      </c>
      <c r="C217" s="46" t="s">
        <v>485</v>
      </c>
      <c r="D217" s="33" t="s">
        <v>486</v>
      </c>
      <c r="E217" s="46" t="s">
        <v>58</v>
      </c>
      <c r="F217" s="46">
        <v>10</v>
      </c>
      <c r="G217" s="42">
        <v>4.4000000000000004</v>
      </c>
      <c r="H217" s="42">
        <v>3.82</v>
      </c>
      <c r="I217" s="43">
        <v>8.2200000000000006</v>
      </c>
      <c r="J217" s="44">
        <v>82.2</v>
      </c>
    </row>
    <row r="218" spans="2:10" ht="26.1">
      <c r="B218" s="47">
        <v>217</v>
      </c>
      <c r="C218" s="46" t="s">
        <v>487</v>
      </c>
      <c r="D218" s="33" t="s">
        <v>488</v>
      </c>
      <c r="E218" s="46" t="s">
        <v>61</v>
      </c>
      <c r="F218" s="46">
        <v>40</v>
      </c>
      <c r="G218" s="42">
        <v>4</v>
      </c>
      <c r="H218" s="42">
        <v>1.45</v>
      </c>
      <c r="I218" s="43">
        <v>5.45</v>
      </c>
      <c r="J218" s="44">
        <v>218</v>
      </c>
    </row>
    <row r="219" spans="2:10">
      <c r="B219" s="45">
        <v>218</v>
      </c>
      <c r="C219" s="46" t="s">
        <v>489</v>
      </c>
      <c r="D219" s="33" t="s">
        <v>490</v>
      </c>
      <c r="E219" s="46" t="s">
        <v>61</v>
      </c>
      <c r="F219" s="46">
        <v>40</v>
      </c>
      <c r="G219" s="42">
        <v>5</v>
      </c>
      <c r="H219" s="42">
        <v>1.45</v>
      </c>
      <c r="I219" s="43">
        <v>6.45</v>
      </c>
      <c r="J219" s="44">
        <v>258</v>
      </c>
    </row>
    <row r="220" spans="2:10">
      <c r="B220" s="47">
        <v>219</v>
      </c>
      <c r="C220" s="46" t="s">
        <v>491</v>
      </c>
      <c r="D220" s="33" t="s">
        <v>492</v>
      </c>
      <c r="E220" s="46" t="s">
        <v>58</v>
      </c>
      <c r="F220" s="46">
        <v>10</v>
      </c>
      <c r="G220" s="42">
        <v>89.9</v>
      </c>
      <c r="H220" s="42">
        <v>29.21</v>
      </c>
      <c r="I220" s="43">
        <v>119.11000000000001</v>
      </c>
      <c r="J220" s="44">
        <v>1191.1000000000001</v>
      </c>
    </row>
    <row r="221" spans="2:10" ht="26.1">
      <c r="B221" s="45">
        <v>220</v>
      </c>
      <c r="C221" s="46" t="s">
        <v>493</v>
      </c>
      <c r="D221" s="33" t="s">
        <v>494</v>
      </c>
      <c r="E221" s="46" t="s">
        <v>58</v>
      </c>
      <c r="F221" s="46">
        <v>10</v>
      </c>
      <c r="G221" s="42">
        <v>67.92</v>
      </c>
      <c r="H221" s="42">
        <v>12.8</v>
      </c>
      <c r="I221" s="43">
        <v>80.72</v>
      </c>
      <c r="J221" s="44">
        <v>807.2</v>
      </c>
    </row>
    <row r="222" spans="2:10">
      <c r="B222" s="47">
        <v>221</v>
      </c>
      <c r="C222" s="46" t="s">
        <v>495</v>
      </c>
      <c r="D222" s="33" t="s">
        <v>496</v>
      </c>
      <c r="E222" s="46" t="s">
        <v>58</v>
      </c>
      <c r="F222" s="46">
        <v>10</v>
      </c>
      <c r="G222" s="42">
        <v>73.7</v>
      </c>
      <c r="H222" s="42">
        <v>22.21</v>
      </c>
      <c r="I222" s="43">
        <v>95.91</v>
      </c>
      <c r="J222" s="44">
        <v>959.09999999999991</v>
      </c>
    </row>
    <row r="223" spans="2:10">
      <c r="B223" s="45">
        <v>222</v>
      </c>
      <c r="C223" s="46" t="s">
        <v>497</v>
      </c>
      <c r="D223" s="33" t="s">
        <v>498</v>
      </c>
      <c r="E223" s="46" t="s">
        <v>61</v>
      </c>
      <c r="F223" s="46">
        <v>50</v>
      </c>
      <c r="G223" s="42">
        <v>46.3</v>
      </c>
      <c r="H223" s="42">
        <v>4.78</v>
      </c>
      <c r="I223" s="43">
        <v>51.08</v>
      </c>
      <c r="J223" s="44">
        <v>2554</v>
      </c>
    </row>
    <row r="224" spans="2:10">
      <c r="B224" s="47">
        <v>223</v>
      </c>
      <c r="C224" s="46" t="s">
        <v>499</v>
      </c>
      <c r="D224" s="33" t="s">
        <v>500</v>
      </c>
      <c r="E224" s="46" t="s">
        <v>61</v>
      </c>
      <c r="F224" s="46">
        <v>10</v>
      </c>
      <c r="G224" s="42">
        <v>136</v>
      </c>
      <c r="H224" s="42">
        <v>11.2</v>
      </c>
      <c r="I224" s="43">
        <v>147.19999999999999</v>
      </c>
      <c r="J224" s="44">
        <v>1472</v>
      </c>
    </row>
    <row r="225" spans="2:10" ht="26.1">
      <c r="B225" s="45">
        <v>224</v>
      </c>
      <c r="C225" s="46" t="s">
        <v>501</v>
      </c>
      <c r="D225" s="33" t="s">
        <v>502</v>
      </c>
      <c r="E225" s="46" t="s">
        <v>58</v>
      </c>
      <c r="F225" s="46">
        <v>10</v>
      </c>
      <c r="G225" s="42">
        <v>330</v>
      </c>
      <c r="H225" s="42">
        <v>23.3</v>
      </c>
      <c r="I225" s="43">
        <v>353.3</v>
      </c>
      <c r="J225" s="44">
        <v>3533</v>
      </c>
    </row>
    <row r="226" spans="2:10" ht="26.1">
      <c r="B226" s="47">
        <v>225</v>
      </c>
      <c r="C226" s="46" t="s">
        <v>503</v>
      </c>
      <c r="D226" s="33" t="s">
        <v>504</v>
      </c>
      <c r="E226" s="46" t="s">
        <v>61</v>
      </c>
      <c r="F226" s="46">
        <v>40</v>
      </c>
      <c r="G226" s="42">
        <v>36</v>
      </c>
      <c r="H226" s="42">
        <v>6.3</v>
      </c>
      <c r="I226" s="43">
        <v>42.3</v>
      </c>
      <c r="J226" s="44">
        <v>1692</v>
      </c>
    </row>
    <row r="227" spans="2:10" ht="26.1">
      <c r="B227" s="45">
        <v>226</v>
      </c>
      <c r="C227" s="46" t="s">
        <v>505</v>
      </c>
      <c r="D227" s="33" t="s">
        <v>506</v>
      </c>
      <c r="E227" s="46" t="s">
        <v>61</v>
      </c>
      <c r="F227" s="46">
        <v>10</v>
      </c>
      <c r="G227" s="42">
        <v>65.2</v>
      </c>
      <c r="H227" s="42">
        <v>9.6</v>
      </c>
      <c r="I227" s="43">
        <v>74.8</v>
      </c>
      <c r="J227" s="44">
        <v>748</v>
      </c>
    </row>
    <row r="228" spans="2:10" ht="26.1">
      <c r="B228" s="47">
        <v>227</v>
      </c>
      <c r="C228" s="46" t="s">
        <v>507</v>
      </c>
      <c r="D228" s="33" t="s">
        <v>508</v>
      </c>
      <c r="E228" s="46" t="s">
        <v>61</v>
      </c>
      <c r="F228" s="46">
        <v>10</v>
      </c>
      <c r="G228" s="42">
        <v>91</v>
      </c>
      <c r="H228" s="42">
        <v>11.1</v>
      </c>
      <c r="I228" s="43">
        <v>102.1</v>
      </c>
      <c r="J228" s="44">
        <v>1021</v>
      </c>
    </row>
    <row r="229" spans="2:10" ht="26.1">
      <c r="B229" s="45">
        <v>228</v>
      </c>
      <c r="C229" s="46" t="s">
        <v>509</v>
      </c>
      <c r="D229" s="33" t="s">
        <v>510</v>
      </c>
      <c r="E229" s="46" t="s">
        <v>58</v>
      </c>
      <c r="F229" s="46">
        <v>10</v>
      </c>
      <c r="G229" s="42">
        <v>41</v>
      </c>
      <c r="H229" s="42">
        <v>12.8</v>
      </c>
      <c r="I229" s="43">
        <v>53.8</v>
      </c>
      <c r="J229" s="44">
        <v>538</v>
      </c>
    </row>
    <row r="230" spans="2:10">
      <c r="B230" s="47">
        <v>229</v>
      </c>
      <c r="C230" s="46" t="s">
        <v>511</v>
      </c>
      <c r="D230" s="33" t="s">
        <v>512</v>
      </c>
      <c r="E230" s="46" t="s">
        <v>61</v>
      </c>
      <c r="F230" s="46">
        <v>10</v>
      </c>
      <c r="G230" s="42">
        <v>22</v>
      </c>
      <c r="H230" s="42">
        <v>17.36</v>
      </c>
      <c r="I230" s="43">
        <v>39.36</v>
      </c>
      <c r="J230" s="44">
        <v>393.6</v>
      </c>
    </row>
    <row r="231" spans="2:10">
      <c r="B231" s="45">
        <v>230</v>
      </c>
      <c r="C231" s="46" t="s">
        <v>513</v>
      </c>
      <c r="D231" s="33" t="s">
        <v>514</v>
      </c>
      <c r="E231" s="46" t="s">
        <v>58</v>
      </c>
      <c r="F231" s="46">
        <v>10</v>
      </c>
      <c r="G231" s="42">
        <v>32</v>
      </c>
      <c r="H231" s="42">
        <v>26.74</v>
      </c>
      <c r="I231" s="43">
        <v>58.739999999999995</v>
      </c>
      <c r="J231" s="44">
        <v>587.4</v>
      </c>
    </row>
    <row r="232" spans="2:10">
      <c r="B232" s="47">
        <v>231</v>
      </c>
      <c r="C232" s="46" t="s">
        <v>515</v>
      </c>
      <c r="D232" s="33" t="s">
        <v>516</v>
      </c>
      <c r="E232" s="46" t="s">
        <v>58</v>
      </c>
      <c r="F232" s="46">
        <v>40</v>
      </c>
      <c r="G232" s="42">
        <v>23</v>
      </c>
      <c r="H232" s="42"/>
      <c r="I232" s="43">
        <v>23</v>
      </c>
      <c r="J232" s="44">
        <v>920</v>
      </c>
    </row>
    <row r="233" spans="2:10">
      <c r="B233" s="45">
        <v>232</v>
      </c>
      <c r="C233" s="46" t="s">
        <v>517</v>
      </c>
      <c r="D233" s="33" t="s">
        <v>518</v>
      </c>
      <c r="E233" s="46" t="s">
        <v>61</v>
      </c>
      <c r="F233" s="46">
        <v>50</v>
      </c>
      <c r="G233" s="42">
        <v>20.3</v>
      </c>
      <c r="H233" s="42">
        <v>10.9</v>
      </c>
      <c r="I233" s="43">
        <v>31.200000000000003</v>
      </c>
      <c r="J233" s="44">
        <v>1560.0000000000002</v>
      </c>
    </row>
    <row r="234" spans="2:10">
      <c r="B234" s="47">
        <v>233</v>
      </c>
      <c r="C234" s="46" t="s">
        <v>519</v>
      </c>
      <c r="D234" s="33" t="s">
        <v>520</v>
      </c>
      <c r="E234" s="46" t="s">
        <v>58</v>
      </c>
      <c r="F234" s="46">
        <v>50</v>
      </c>
      <c r="G234" s="42">
        <v>12.3</v>
      </c>
      <c r="H234" s="42">
        <v>17.079999999999998</v>
      </c>
      <c r="I234" s="43">
        <v>29.38</v>
      </c>
      <c r="J234" s="44">
        <v>1469</v>
      </c>
    </row>
    <row r="235" spans="2:10">
      <c r="B235" s="45">
        <v>234</v>
      </c>
      <c r="C235" s="46" t="s">
        <v>521</v>
      </c>
      <c r="D235" s="33" t="s">
        <v>522</v>
      </c>
      <c r="E235" s="46" t="s">
        <v>58</v>
      </c>
      <c r="F235" s="46">
        <v>40</v>
      </c>
      <c r="G235" s="42">
        <v>12.7</v>
      </c>
      <c r="H235" s="42">
        <v>17</v>
      </c>
      <c r="I235" s="43">
        <v>29.7</v>
      </c>
      <c r="J235" s="44">
        <v>1188</v>
      </c>
    </row>
    <row r="236" spans="2:10">
      <c r="B236" s="47">
        <v>235</v>
      </c>
      <c r="C236" s="46" t="s">
        <v>523</v>
      </c>
      <c r="D236" s="33" t="s">
        <v>524</v>
      </c>
      <c r="E236" s="46" t="s">
        <v>58</v>
      </c>
      <c r="F236" s="46">
        <v>40</v>
      </c>
      <c r="G236" s="42">
        <v>13.7</v>
      </c>
      <c r="H236" s="42">
        <v>14.4</v>
      </c>
      <c r="I236" s="43">
        <v>28.1</v>
      </c>
      <c r="J236" s="44">
        <v>1124</v>
      </c>
    </row>
    <row r="237" spans="2:10" ht="26.1">
      <c r="B237" s="45">
        <v>236</v>
      </c>
      <c r="C237" s="46" t="s">
        <v>525</v>
      </c>
      <c r="D237" s="33" t="s">
        <v>526</v>
      </c>
      <c r="E237" s="46" t="s">
        <v>58</v>
      </c>
      <c r="F237" s="46">
        <v>40</v>
      </c>
      <c r="G237" s="42">
        <v>10.86</v>
      </c>
      <c r="H237" s="42">
        <v>19.809999999999999</v>
      </c>
      <c r="I237" s="43">
        <v>30.669999999999998</v>
      </c>
      <c r="J237" s="44">
        <v>1226.8</v>
      </c>
    </row>
    <row r="238" spans="2:10" ht="26.1">
      <c r="B238" s="47">
        <v>237</v>
      </c>
      <c r="C238" s="46" t="s">
        <v>527</v>
      </c>
      <c r="D238" s="33" t="s">
        <v>528</v>
      </c>
      <c r="E238" s="46" t="s">
        <v>58</v>
      </c>
      <c r="F238" s="46">
        <v>10</v>
      </c>
      <c r="G238" s="42">
        <v>10.57</v>
      </c>
      <c r="H238" s="42">
        <v>7.2</v>
      </c>
      <c r="I238" s="43">
        <v>17.77</v>
      </c>
      <c r="J238" s="44">
        <v>177.7</v>
      </c>
    </row>
    <row r="239" spans="2:10">
      <c r="B239" s="45">
        <v>238</v>
      </c>
      <c r="C239" s="46" t="s">
        <v>529</v>
      </c>
      <c r="D239" s="33" t="s">
        <v>530</v>
      </c>
      <c r="E239" s="46" t="s">
        <v>58</v>
      </c>
      <c r="F239" s="46">
        <v>40</v>
      </c>
      <c r="G239" s="42">
        <v>14.82</v>
      </c>
      <c r="H239" s="42">
        <v>10.5</v>
      </c>
      <c r="I239" s="43">
        <v>25.32</v>
      </c>
      <c r="J239" s="44">
        <v>1012.8</v>
      </c>
    </row>
    <row r="240" spans="2:10">
      <c r="B240" s="47">
        <v>239</v>
      </c>
      <c r="C240" s="46" t="s">
        <v>531</v>
      </c>
      <c r="D240" s="33" t="s">
        <v>532</v>
      </c>
      <c r="E240" s="46" t="s">
        <v>58</v>
      </c>
      <c r="F240" s="46">
        <v>40</v>
      </c>
      <c r="G240" s="42">
        <v>14.8</v>
      </c>
      <c r="H240" s="42">
        <v>10.5</v>
      </c>
      <c r="I240" s="43">
        <v>25.3</v>
      </c>
      <c r="J240" s="44">
        <v>1012</v>
      </c>
    </row>
    <row r="241" spans="2:10">
      <c r="B241" s="45">
        <v>240</v>
      </c>
      <c r="C241" s="46" t="s">
        <v>533</v>
      </c>
      <c r="D241" s="33" t="s">
        <v>534</v>
      </c>
      <c r="E241" s="46" t="s">
        <v>58</v>
      </c>
      <c r="F241" s="46">
        <v>40</v>
      </c>
      <c r="G241" s="42">
        <v>14.8</v>
      </c>
      <c r="H241" s="42">
        <v>10.5</v>
      </c>
      <c r="I241" s="43">
        <v>25.3</v>
      </c>
      <c r="J241" s="44">
        <v>1012</v>
      </c>
    </row>
    <row r="242" spans="2:10">
      <c r="B242" s="47">
        <v>241</v>
      </c>
      <c r="C242" s="46" t="s">
        <v>535</v>
      </c>
      <c r="D242" s="33" t="s">
        <v>536</v>
      </c>
      <c r="E242" s="46" t="s">
        <v>61</v>
      </c>
      <c r="F242" s="46">
        <v>10</v>
      </c>
      <c r="G242" s="42">
        <v>15.48</v>
      </c>
      <c r="H242" s="42">
        <v>6.8</v>
      </c>
      <c r="I242" s="43">
        <v>22.28</v>
      </c>
      <c r="J242" s="44">
        <v>222.8</v>
      </c>
    </row>
    <row r="243" spans="2:10">
      <c r="B243" s="45">
        <v>242</v>
      </c>
      <c r="C243" s="46" t="s">
        <v>537</v>
      </c>
      <c r="D243" s="33" t="s">
        <v>538</v>
      </c>
      <c r="E243" s="46" t="s">
        <v>58</v>
      </c>
      <c r="F243" s="46">
        <v>10</v>
      </c>
      <c r="G243" s="42">
        <v>94</v>
      </c>
      <c r="H243" s="42">
        <v>4.5999999999999996</v>
      </c>
      <c r="I243" s="43">
        <v>98.6</v>
      </c>
      <c r="J243" s="44">
        <v>986</v>
      </c>
    </row>
    <row r="244" spans="2:10">
      <c r="B244" s="47">
        <v>243</v>
      </c>
      <c r="C244" s="46" t="s">
        <v>539</v>
      </c>
      <c r="D244" s="33" t="s">
        <v>540</v>
      </c>
      <c r="E244" s="46" t="s">
        <v>58</v>
      </c>
      <c r="F244" s="46">
        <v>10</v>
      </c>
      <c r="G244" s="42">
        <v>155.97</v>
      </c>
      <c r="H244" s="42"/>
      <c r="I244" s="43">
        <v>155.97</v>
      </c>
      <c r="J244" s="44">
        <v>1559.7</v>
      </c>
    </row>
    <row r="245" spans="2:10" ht="26.1">
      <c r="B245" s="45">
        <v>244</v>
      </c>
      <c r="C245" s="46" t="s">
        <v>541</v>
      </c>
      <c r="D245" s="33" t="s">
        <v>542</v>
      </c>
      <c r="E245" s="46" t="s">
        <v>58</v>
      </c>
      <c r="F245" s="46">
        <v>10</v>
      </c>
      <c r="G245" s="42">
        <v>41.6</v>
      </c>
      <c r="H245" s="42">
        <v>19.2</v>
      </c>
      <c r="I245" s="43">
        <v>60.8</v>
      </c>
      <c r="J245" s="44">
        <v>608</v>
      </c>
    </row>
    <row r="246" spans="2:10" ht="26.1">
      <c r="B246" s="47">
        <v>245</v>
      </c>
      <c r="C246" s="46" t="s">
        <v>543</v>
      </c>
      <c r="D246" s="33" t="s">
        <v>544</v>
      </c>
      <c r="E246" s="46" t="s">
        <v>58</v>
      </c>
      <c r="F246" s="46">
        <v>10</v>
      </c>
      <c r="G246" s="42">
        <v>3.85</v>
      </c>
      <c r="H246" s="42">
        <v>10.75</v>
      </c>
      <c r="I246" s="43">
        <v>14.6</v>
      </c>
      <c r="J246" s="44">
        <v>146</v>
      </c>
    </row>
    <row r="247" spans="2:10">
      <c r="B247" s="45">
        <v>246</v>
      </c>
      <c r="C247" s="46" t="s">
        <v>545</v>
      </c>
      <c r="D247" s="33" t="s">
        <v>546</v>
      </c>
      <c r="E247" s="46" t="s">
        <v>58</v>
      </c>
      <c r="F247" s="46">
        <v>40</v>
      </c>
      <c r="G247" s="42">
        <v>8.2200000000000006</v>
      </c>
      <c r="H247" s="42">
        <v>8.4</v>
      </c>
      <c r="I247" s="43">
        <v>16.62</v>
      </c>
      <c r="J247" s="44">
        <v>664.80000000000007</v>
      </c>
    </row>
    <row r="248" spans="2:10" ht="26.1">
      <c r="B248" s="47">
        <v>247</v>
      </c>
      <c r="C248" s="46" t="s">
        <v>547</v>
      </c>
      <c r="D248" s="33" t="s">
        <v>548</v>
      </c>
      <c r="E248" s="46" t="s">
        <v>58</v>
      </c>
      <c r="F248" s="46">
        <v>10</v>
      </c>
      <c r="G248" s="42">
        <v>3.85</v>
      </c>
      <c r="H248" s="42">
        <v>10.7</v>
      </c>
      <c r="I248" s="43">
        <v>14.549999999999999</v>
      </c>
      <c r="J248" s="44">
        <v>145.5</v>
      </c>
    </row>
    <row r="249" spans="2:10">
      <c r="B249" s="45">
        <v>248</v>
      </c>
      <c r="C249" s="46" t="s">
        <v>549</v>
      </c>
      <c r="D249" s="33" t="s">
        <v>550</v>
      </c>
      <c r="E249" s="46" t="s">
        <v>58</v>
      </c>
      <c r="F249" s="46">
        <v>10</v>
      </c>
      <c r="G249" s="42">
        <v>8</v>
      </c>
      <c r="H249" s="42">
        <v>6.4</v>
      </c>
      <c r="I249" s="43">
        <v>14.4</v>
      </c>
      <c r="J249" s="44">
        <v>144</v>
      </c>
    </row>
    <row r="250" spans="2:10" ht="26.1">
      <c r="B250" s="47">
        <v>249</v>
      </c>
      <c r="C250" s="46" t="s">
        <v>551</v>
      </c>
      <c r="D250" s="33" t="s">
        <v>552</v>
      </c>
      <c r="E250" s="46" t="s">
        <v>58</v>
      </c>
      <c r="F250" s="46">
        <v>40</v>
      </c>
      <c r="G250" s="42">
        <v>2.4</v>
      </c>
      <c r="H250" s="42">
        <v>2</v>
      </c>
      <c r="I250" s="43">
        <v>4.4000000000000004</v>
      </c>
      <c r="J250" s="44">
        <v>176</v>
      </c>
    </row>
    <row r="251" spans="2:10">
      <c r="B251" s="45">
        <v>250</v>
      </c>
      <c r="C251" s="46" t="s">
        <v>553</v>
      </c>
      <c r="D251" s="33" t="s">
        <v>554</v>
      </c>
      <c r="E251" s="46" t="s">
        <v>58</v>
      </c>
      <c r="F251" s="46">
        <v>40</v>
      </c>
      <c r="G251" s="42">
        <v>0.71</v>
      </c>
      <c r="H251" s="42">
        <v>2</v>
      </c>
      <c r="I251" s="43">
        <v>2.71</v>
      </c>
      <c r="J251" s="44">
        <v>108.4</v>
      </c>
    </row>
    <row r="252" spans="2:10">
      <c r="B252" s="47">
        <v>251</v>
      </c>
      <c r="C252" s="46" t="s">
        <v>555</v>
      </c>
      <c r="D252" s="33" t="s">
        <v>556</v>
      </c>
      <c r="E252" s="46" t="s">
        <v>58</v>
      </c>
      <c r="F252" s="46">
        <v>40</v>
      </c>
      <c r="G252" s="42">
        <v>4.95</v>
      </c>
      <c r="H252" s="42">
        <v>7</v>
      </c>
      <c r="I252" s="43">
        <v>11.95</v>
      </c>
      <c r="J252" s="44">
        <v>478</v>
      </c>
    </row>
    <row r="253" spans="2:10">
      <c r="B253" s="45">
        <v>252</v>
      </c>
      <c r="C253" s="46" t="s">
        <v>557</v>
      </c>
      <c r="D253" s="33" t="s">
        <v>558</v>
      </c>
      <c r="E253" s="46" t="s">
        <v>58</v>
      </c>
      <c r="F253" s="46">
        <v>10</v>
      </c>
      <c r="G253" s="42">
        <v>245</v>
      </c>
      <c r="H253" s="42">
        <v>16.5</v>
      </c>
      <c r="I253" s="43">
        <v>261.5</v>
      </c>
      <c r="J253" s="44">
        <v>2615</v>
      </c>
    </row>
    <row r="254" spans="2:10">
      <c r="B254" s="47">
        <v>253</v>
      </c>
      <c r="C254" s="46" t="s">
        <v>559</v>
      </c>
      <c r="D254" s="33" t="s">
        <v>558</v>
      </c>
      <c r="E254" s="46" t="s">
        <v>61</v>
      </c>
      <c r="F254" s="46">
        <v>10</v>
      </c>
      <c r="G254" s="42">
        <v>79.33</v>
      </c>
      <c r="H254" s="42">
        <v>8.6</v>
      </c>
      <c r="I254" s="43">
        <v>87.929999999999993</v>
      </c>
      <c r="J254" s="44">
        <v>879.3</v>
      </c>
    </row>
    <row r="255" spans="2:10" ht="26.1">
      <c r="B255" s="45">
        <v>254</v>
      </c>
      <c r="C255" s="46" t="s">
        <v>560</v>
      </c>
      <c r="D255" s="33" t="s">
        <v>561</v>
      </c>
      <c r="E255" s="46" t="s">
        <v>58</v>
      </c>
      <c r="F255" s="46">
        <v>10</v>
      </c>
      <c r="G255" s="42">
        <v>256.5</v>
      </c>
      <c r="H255" s="42"/>
      <c r="I255" s="43">
        <v>256.5</v>
      </c>
      <c r="J255" s="44">
        <v>2565</v>
      </c>
    </row>
    <row r="256" spans="2:10" ht="26.1">
      <c r="B256" s="47">
        <v>255</v>
      </c>
      <c r="C256" s="46" t="s">
        <v>562</v>
      </c>
      <c r="D256" s="33" t="s">
        <v>563</v>
      </c>
      <c r="E256" s="46" t="s">
        <v>58</v>
      </c>
      <c r="F256" s="46">
        <v>10</v>
      </c>
      <c r="G256" s="42">
        <v>168</v>
      </c>
      <c r="H256" s="42"/>
      <c r="I256" s="43">
        <v>168</v>
      </c>
      <c r="J256" s="44">
        <v>1680</v>
      </c>
    </row>
    <row r="257" spans="2:10">
      <c r="B257" s="45">
        <v>256</v>
      </c>
      <c r="C257" s="46" t="s">
        <v>564</v>
      </c>
      <c r="D257" s="33" t="s">
        <v>565</v>
      </c>
      <c r="E257" s="46" t="s">
        <v>58</v>
      </c>
      <c r="F257" s="46">
        <v>10</v>
      </c>
      <c r="G257" s="42">
        <v>140</v>
      </c>
      <c r="H257" s="42">
        <v>50.14</v>
      </c>
      <c r="I257" s="43">
        <v>190.14</v>
      </c>
      <c r="J257" s="44">
        <v>1901.3999999999999</v>
      </c>
    </row>
    <row r="258" spans="2:10">
      <c r="B258" s="47">
        <v>257</v>
      </c>
      <c r="C258" s="46" t="s">
        <v>566</v>
      </c>
      <c r="D258" s="33" t="s">
        <v>567</v>
      </c>
      <c r="E258" s="46" t="s">
        <v>58</v>
      </c>
      <c r="F258" s="46">
        <v>10</v>
      </c>
      <c r="G258" s="42">
        <v>200</v>
      </c>
      <c r="H258" s="42">
        <v>50.14</v>
      </c>
      <c r="I258" s="43">
        <v>250.14</v>
      </c>
      <c r="J258" s="44">
        <v>2501.3999999999996</v>
      </c>
    </row>
    <row r="259" spans="2:10">
      <c r="B259" s="45">
        <v>258</v>
      </c>
      <c r="C259" s="46" t="s">
        <v>568</v>
      </c>
      <c r="D259" s="33" t="s">
        <v>569</v>
      </c>
      <c r="E259" s="46" t="s">
        <v>58</v>
      </c>
      <c r="F259" s="46">
        <v>2</v>
      </c>
      <c r="G259" s="42">
        <v>893.7</v>
      </c>
      <c r="H259" s="42">
        <v>56.74</v>
      </c>
      <c r="I259" s="43">
        <v>950.44</v>
      </c>
      <c r="J259" s="44">
        <v>1900.88</v>
      </c>
    </row>
    <row r="260" spans="2:10">
      <c r="B260" s="47">
        <v>259</v>
      </c>
      <c r="C260" s="46" t="s">
        <v>570</v>
      </c>
      <c r="D260" s="33" t="s">
        <v>571</v>
      </c>
      <c r="E260" s="46" t="s">
        <v>70</v>
      </c>
      <c r="F260" s="46">
        <v>40</v>
      </c>
      <c r="G260" s="42">
        <v>2.35</v>
      </c>
      <c r="H260" s="42">
        <v>4.7</v>
      </c>
      <c r="I260" s="43">
        <v>7.0500000000000007</v>
      </c>
      <c r="J260" s="44">
        <v>282</v>
      </c>
    </row>
    <row r="261" spans="2:10">
      <c r="B261" s="45">
        <v>260</v>
      </c>
      <c r="C261" s="46" t="s">
        <v>572</v>
      </c>
      <c r="D261" s="33" t="s">
        <v>573</v>
      </c>
      <c r="E261" s="46" t="s">
        <v>70</v>
      </c>
      <c r="F261" s="46">
        <v>40</v>
      </c>
      <c r="G261" s="42">
        <v>24</v>
      </c>
      <c r="H261" s="42"/>
      <c r="I261" s="43">
        <v>24</v>
      </c>
      <c r="J261" s="44">
        <v>960</v>
      </c>
    </row>
    <row r="262" spans="2:10">
      <c r="B262" s="47">
        <v>261</v>
      </c>
      <c r="C262" s="46" t="s">
        <v>574</v>
      </c>
      <c r="D262" s="33" t="s">
        <v>32</v>
      </c>
      <c r="E262" s="46" t="s">
        <v>70</v>
      </c>
      <c r="F262" s="46">
        <v>40</v>
      </c>
      <c r="G262" s="42">
        <v>2.56</v>
      </c>
      <c r="H262" s="42">
        <v>11.47</v>
      </c>
      <c r="I262" s="43">
        <v>14.030000000000001</v>
      </c>
      <c r="J262" s="44">
        <v>561.20000000000005</v>
      </c>
    </row>
    <row r="263" spans="2:10" ht="26.1">
      <c r="B263" s="45">
        <v>262</v>
      </c>
      <c r="C263" s="46" t="s">
        <v>575</v>
      </c>
      <c r="D263" s="33" t="s">
        <v>576</v>
      </c>
      <c r="E263" s="46" t="s">
        <v>159</v>
      </c>
      <c r="F263" s="46">
        <v>10</v>
      </c>
      <c r="G263" s="42">
        <v>149.66</v>
      </c>
      <c r="H263" s="48">
        <v>0</v>
      </c>
      <c r="I263" s="43">
        <v>149.66</v>
      </c>
      <c r="J263" s="44">
        <v>1496.6</v>
      </c>
    </row>
    <row r="264" spans="2:10">
      <c r="B264" s="47">
        <v>263</v>
      </c>
      <c r="C264" s="46" t="s">
        <v>577</v>
      </c>
      <c r="D264" s="33" t="s">
        <v>578</v>
      </c>
      <c r="E264" s="46" t="s">
        <v>159</v>
      </c>
      <c r="F264" s="46">
        <v>2</v>
      </c>
      <c r="G264" s="42">
        <v>177.4</v>
      </c>
      <c r="H264" s="48">
        <v>0</v>
      </c>
      <c r="I264" s="43">
        <v>177.4</v>
      </c>
      <c r="J264" s="44">
        <v>354.8</v>
      </c>
    </row>
    <row r="265" spans="2:10">
      <c r="B265" s="45">
        <v>264</v>
      </c>
      <c r="C265" s="46" t="s">
        <v>579</v>
      </c>
      <c r="D265" s="33" t="s">
        <v>580</v>
      </c>
      <c r="E265" s="46" t="s">
        <v>159</v>
      </c>
      <c r="F265" s="46">
        <v>2</v>
      </c>
      <c r="G265" s="42">
        <v>189.9</v>
      </c>
      <c r="H265" s="48">
        <v>0</v>
      </c>
      <c r="I265" s="43">
        <v>189.9</v>
      </c>
      <c r="J265" s="44">
        <v>379.8</v>
      </c>
    </row>
    <row r="266" spans="2:10">
      <c r="B266" s="47">
        <v>265</v>
      </c>
      <c r="C266" s="46" t="s">
        <v>581</v>
      </c>
      <c r="D266" s="33" t="s">
        <v>582</v>
      </c>
      <c r="E266" s="46" t="s">
        <v>159</v>
      </c>
      <c r="F266" s="46">
        <v>10</v>
      </c>
      <c r="G266" s="42">
        <v>44.5</v>
      </c>
      <c r="H266" s="48">
        <v>0</v>
      </c>
      <c r="I266" s="43">
        <v>44.5</v>
      </c>
      <c r="J266" s="44">
        <v>445</v>
      </c>
    </row>
    <row r="267" spans="2:10">
      <c r="B267" s="45">
        <v>266</v>
      </c>
      <c r="C267" s="46" t="s">
        <v>583</v>
      </c>
      <c r="D267" s="33" t="s">
        <v>584</v>
      </c>
      <c r="E267" s="46" t="s">
        <v>159</v>
      </c>
      <c r="F267" s="46">
        <v>2</v>
      </c>
      <c r="G267" s="42">
        <v>100</v>
      </c>
      <c r="H267" s="48">
        <v>0</v>
      </c>
      <c r="I267" s="43">
        <v>100</v>
      </c>
      <c r="J267" s="44">
        <v>200</v>
      </c>
    </row>
    <row r="268" spans="2:10">
      <c r="B268" s="47">
        <v>267</v>
      </c>
      <c r="C268" s="46" t="s">
        <v>585</v>
      </c>
      <c r="D268" s="33" t="s">
        <v>586</v>
      </c>
      <c r="E268" s="46" t="s">
        <v>159</v>
      </c>
      <c r="F268" s="46">
        <v>2</v>
      </c>
      <c r="G268" s="42">
        <v>85.5</v>
      </c>
      <c r="H268" s="48">
        <v>0</v>
      </c>
      <c r="I268" s="43">
        <v>85.5</v>
      </c>
      <c r="J268" s="44">
        <v>171</v>
      </c>
    </row>
    <row r="269" spans="2:10">
      <c r="B269" s="45">
        <v>268</v>
      </c>
      <c r="C269" s="46" t="s">
        <v>587</v>
      </c>
      <c r="D269" s="33" t="s">
        <v>588</v>
      </c>
      <c r="E269" s="46" t="s">
        <v>159</v>
      </c>
      <c r="F269" s="46">
        <v>10</v>
      </c>
      <c r="G269" s="42">
        <v>147.80000000000001</v>
      </c>
      <c r="H269" s="48">
        <v>0</v>
      </c>
      <c r="I269" s="43">
        <v>147.80000000000001</v>
      </c>
      <c r="J269" s="44">
        <v>1478</v>
      </c>
    </row>
    <row r="270" spans="2:10">
      <c r="B270" s="47">
        <v>269</v>
      </c>
      <c r="C270" s="46" t="s">
        <v>589</v>
      </c>
      <c r="D270" s="33" t="s">
        <v>590</v>
      </c>
      <c r="E270" s="46" t="s">
        <v>159</v>
      </c>
      <c r="F270" s="46">
        <v>2</v>
      </c>
      <c r="G270" s="42">
        <v>70</v>
      </c>
      <c r="H270" s="48">
        <v>0</v>
      </c>
      <c r="I270" s="43">
        <v>70</v>
      </c>
      <c r="J270" s="44">
        <v>140</v>
      </c>
    </row>
    <row r="271" spans="2:10">
      <c r="B271" s="45">
        <v>270</v>
      </c>
      <c r="C271" s="46" t="s">
        <v>591</v>
      </c>
      <c r="D271" s="33" t="s">
        <v>592</v>
      </c>
      <c r="E271" s="46" t="s">
        <v>159</v>
      </c>
      <c r="F271" s="46">
        <v>10</v>
      </c>
      <c r="G271" s="42">
        <v>262.39999999999998</v>
      </c>
      <c r="H271" s="48">
        <v>0</v>
      </c>
      <c r="I271" s="43">
        <v>262.39999999999998</v>
      </c>
      <c r="J271" s="44">
        <v>2624</v>
      </c>
    </row>
    <row r="272" spans="2:10">
      <c r="B272" s="47">
        <v>271</v>
      </c>
      <c r="C272" s="46" t="s">
        <v>593</v>
      </c>
      <c r="D272" s="33" t="s">
        <v>594</v>
      </c>
      <c r="E272" s="46" t="s">
        <v>159</v>
      </c>
      <c r="F272" s="46">
        <v>10</v>
      </c>
      <c r="G272" s="42">
        <v>92</v>
      </c>
      <c r="H272" s="48">
        <v>0</v>
      </c>
      <c r="I272" s="43">
        <v>92</v>
      </c>
      <c r="J272" s="44">
        <v>920</v>
      </c>
    </row>
    <row r="273" spans="2:10">
      <c r="B273" s="45">
        <v>272</v>
      </c>
      <c r="C273" s="46" t="s">
        <v>595</v>
      </c>
      <c r="D273" s="33" t="s">
        <v>596</v>
      </c>
      <c r="E273" s="46" t="s">
        <v>159</v>
      </c>
      <c r="F273" s="46">
        <v>10</v>
      </c>
      <c r="G273" s="42">
        <v>19.29</v>
      </c>
      <c r="H273" s="48">
        <v>0</v>
      </c>
      <c r="I273" s="43">
        <v>19.29</v>
      </c>
      <c r="J273" s="44">
        <v>192.89999999999998</v>
      </c>
    </row>
    <row r="274" spans="2:10">
      <c r="B274" s="47">
        <v>273</v>
      </c>
      <c r="C274" s="46" t="s">
        <v>597</v>
      </c>
      <c r="D274" s="33" t="s">
        <v>598</v>
      </c>
      <c r="E274" s="46" t="s">
        <v>159</v>
      </c>
      <c r="F274" s="46">
        <v>10</v>
      </c>
      <c r="G274" s="42">
        <v>19.46</v>
      </c>
      <c r="H274" s="48">
        <v>0</v>
      </c>
      <c r="I274" s="43">
        <v>19.46</v>
      </c>
      <c r="J274" s="44">
        <v>194.60000000000002</v>
      </c>
    </row>
    <row r="275" spans="2:10">
      <c r="B275" s="45">
        <v>274</v>
      </c>
      <c r="C275" s="46" t="s">
        <v>599</v>
      </c>
      <c r="D275" s="33" t="s">
        <v>600</v>
      </c>
      <c r="E275" s="46" t="s">
        <v>159</v>
      </c>
      <c r="F275" s="46">
        <v>10</v>
      </c>
      <c r="G275" s="42">
        <v>12.7</v>
      </c>
      <c r="H275" s="48">
        <v>0</v>
      </c>
      <c r="I275" s="43">
        <v>12.7</v>
      </c>
      <c r="J275" s="44">
        <v>127</v>
      </c>
    </row>
    <row r="276" spans="2:10">
      <c r="B276" s="47">
        <v>275</v>
      </c>
      <c r="C276" s="46" t="s">
        <v>601</v>
      </c>
      <c r="D276" s="33" t="s">
        <v>602</v>
      </c>
      <c r="E276" s="46" t="s">
        <v>159</v>
      </c>
      <c r="F276" s="46">
        <v>10</v>
      </c>
      <c r="G276" s="42">
        <v>222.75</v>
      </c>
      <c r="H276" s="48">
        <v>0</v>
      </c>
      <c r="I276" s="43">
        <v>222.75</v>
      </c>
      <c r="J276" s="44">
        <v>2227.5</v>
      </c>
    </row>
    <row r="277" spans="2:10">
      <c r="B277" s="45">
        <v>276</v>
      </c>
      <c r="C277" s="46" t="s">
        <v>603</v>
      </c>
      <c r="D277" s="33" t="s">
        <v>604</v>
      </c>
      <c r="E277" s="46" t="s">
        <v>159</v>
      </c>
      <c r="F277" s="46">
        <v>2</v>
      </c>
      <c r="G277" s="42">
        <v>460.2</v>
      </c>
      <c r="H277" s="48">
        <v>0</v>
      </c>
      <c r="I277" s="43">
        <v>460.2</v>
      </c>
      <c r="J277" s="44">
        <v>920.4</v>
      </c>
    </row>
    <row r="278" spans="2:10">
      <c r="B278" s="47">
        <v>277</v>
      </c>
      <c r="C278" s="46" t="s">
        <v>605</v>
      </c>
      <c r="D278" s="33" t="s">
        <v>606</v>
      </c>
      <c r="E278" s="46" t="s">
        <v>61</v>
      </c>
      <c r="F278" s="46">
        <v>10</v>
      </c>
      <c r="G278" s="42">
        <v>10.3</v>
      </c>
      <c r="H278" s="48">
        <v>0</v>
      </c>
      <c r="I278" s="43">
        <v>10.3</v>
      </c>
      <c r="J278" s="44">
        <v>103</v>
      </c>
    </row>
    <row r="279" spans="2:10">
      <c r="B279" s="45">
        <v>278</v>
      </c>
      <c r="C279" s="46" t="s">
        <v>607</v>
      </c>
      <c r="D279" s="33" t="s">
        <v>608</v>
      </c>
      <c r="E279" s="46" t="s">
        <v>61</v>
      </c>
      <c r="F279" s="46">
        <v>10</v>
      </c>
      <c r="G279" s="42">
        <v>35.340000000000003</v>
      </c>
      <c r="H279" s="48">
        <v>0</v>
      </c>
      <c r="I279" s="43">
        <v>35.340000000000003</v>
      </c>
      <c r="J279" s="44">
        <v>353.40000000000003</v>
      </c>
    </row>
    <row r="280" spans="2:10">
      <c r="B280" s="47">
        <v>279</v>
      </c>
      <c r="C280" s="46" t="s">
        <v>609</v>
      </c>
      <c r="D280" s="33" t="s">
        <v>610</v>
      </c>
      <c r="E280" s="46" t="s">
        <v>159</v>
      </c>
      <c r="F280" s="46">
        <v>10</v>
      </c>
      <c r="G280" s="42">
        <v>74.3</v>
      </c>
      <c r="H280" s="48">
        <v>0</v>
      </c>
      <c r="I280" s="43">
        <v>74.3</v>
      </c>
      <c r="J280" s="44">
        <v>743</v>
      </c>
    </row>
    <row r="281" spans="2:10">
      <c r="B281" s="45">
        <v>280</v>
      </c>
      <c r="C281" s="46" t="s">
        <v>611</v>
      </c>
      <c r="D281" s="33" t="s">
        <v>612</v>
      </c>
      <c r="E281" s="46" t="s">
        <v>159</v>
      </c>
      <c r="F281" s="46">
        <v>10</v>
      </c>
      <c r="G281" s="42">
        <v>81.400000000000006</v>
      </c>
      <c r="H281" s="48">
        <v>0</v>
      </c>
      <c r="I281" s="43">
        <v>81.400000000000006</v>
      </c>
      <c r="J281" s="44">
        <v>814</v>
      </c>
    </row>
    <row r="282" spans="2:10">
      <c r="B282" s="47">
        <v>281</v>
      </c>
      <c r="C282" s="46" t="s">
        <v>613</v>
      </c>
      <c r="D282" s="33" t="s">
        <v>614</v>
      </c>
      <c r="E282" s="46" t="s">
        <v>159</v>
      </c>
      <c r="F282" s="46">
        <v>10</v>
      </c>
      <c r="G282" s="42">
        <v>28.7</v>
      </c>
      <c r="H282" s="48">
        <v>0</v>
      </c>
      <c r="I282" s="43">
        <v>28.7</v>
      </c>
      <c r="J282" s="44">
        <v>287</v>
      </c>
    </row>
    <row r="283" spans="2:10">
      <c r="B283" s="45">
        <v>282</v>
      </c>
      <c r="C283" s="46" t="s">
        <v>615</v>
      </c>
      <c r="D283" s="33" t="s">
        <v>616</v>
      </c>
      <c r="E283" s="46" t="s">
        <v>159</v>
      </c>
      <c r="F283" s="46">
        <v>10</v>
      </c>
      <c r="G283" s="42">
        <v>24.7</v>
      </c>
      <c r="H283" s="48">
        <v>0</v>
      </c>
      <c r="I283" s="43">
        <v>24.7</v>
      </c>
      <c r="J283" s="44">
        <v>247</v>
      </c>
    </row>
    <row r="284" spans="2:10">
      <c r="B284" s="47">
        <v>283</v>
      </c>
      <c r="C284" s="46" t="s">
        <v>617</v>
      </c>
      <c r="D284" s="33" t="s">
        <v>618</v>
      </c>
      <c r="E284" s="46" t="s">
        <v>159</v>
      </c>
      <c r="F284" s="46">
        <v>10</v>
      </c>
      <c r="G284" s="42">
        <v>42</v>
      </c>
      <c r="H284" s="48">
        <v>0</v>
      </c>
      <c r="I284" s="43">
        <v>42</v>
      </c>
      <c r="J284" s="44">
        <v>420</v>
      </c>
    </row>
    <row r="285" spans="2:10">
      <c r="B285" s="45">
        <v>284</v>
      </c>
      <c r="C285" s="46" t="s">
        <v>619</v>
      </c>
      <c r="D285" s="33" t="s">
        <v>620</v>
      </c>
      <c r="E285" s="46" t="s">
        <v>159</v>
      </c>
      <c r="F285" s="46">
        <v>10</v>
      </c>
      <c r="G285" s="42">
        <v>592.67999999999995</v>
      </c>
      <c r="H285" s="48">
        <v>0</v>
      </c>
      <c r="I285" s="43">
        <v>592.67999999999995</v>
      </c>
      <c r="J285" s="44">
        <v>5926.7999999999993</v>
      </c>
    </row>
    <row r="286" spans="2:10">
      <c r="B286" s="47">
        <v>285</v>
      </c>
      <c r="C286" s="46" t="s">
        <v>621</v>
      </c>
      <c r="D286" s="33" t="s">
        <v>622</v>
      </c>
      <c r="E286" s="46" t="s">
        <v>159</v>
      </c>
      <c r="F286" s="46">
        <v>10</v>
      </c>
      <c r="G286" s="42">
        <v>592.67999999999995</v>
      </c>
      <c r="H286" s="48">
        <v>0</v>
      </c>
      <c r="I286" s="43">
        <v>592.67999999999995</v>
      </c>
      <c r="J286" s="44">
        <v>5926.7999999999993</v>
      </c>
    </row>
    <row r="287" spans="2:10">
      <c r="B287" s="45">
        <v>286</v>
      </c>
      <c r="C287" s="46" t="s">
        <v>623</v>
      </c>
      <c r="D287" s="33" t="s">
        <v>624</v>
      </c>
      <c r="E287" s="46" t="s">
        <v>61</v>
      </c>
      <c r="F287" s="46">
        <v>10</v>
      </c>
      <c r="G287" s="42">
        <v>215.3</v>
      </c>
      <c r="H287" s="48">
        <v>0</v>
      </c>
      <c r="I287" s="43">
        <v>215.3</v>
      </c>
      <c r="J287" s="44">
        <v>2153</v>
      </c>
    </row>
    <row r="288" spans="2:10">
      <c r="B288" s="47">
        <v>287</v>
      </c>
      <c r="C288" s="46" t="s">
        <v>625</v>
      </c>
      <c r="D288" s="33" t="s">
        <v>626</v>
      </c>
      <c r="E288" s="46" t="s">
        <v>61</v>
      </c>
      <c r="F288" s="46">
        <v>10</v>
      </c>
      <c r="G288" s="42">
        <v>211.8</v>
      </c>
      <c r="H288" s="48">
        <v>0</v>
      </c>
      <c r="I288" s="43">
        <v>211.8</v>
      </c>
      <c r="J288" s="44">
        <v>2118</v>
      </c>
    </row>
    <row r="289" spans="2:10">
      <c r="B289" s="45">
        <v>288</v>
      </c>
      <c r="C289" s="46" t="s">
        <v>627</v>
      </c>
      <c r="D289" s="33" t="s">
        <v>628</v>
      </c>
      <c r="E289" s="46" t="s">
        <v>159</v>
      </c>
      <c r="F289" s="46">
        <v>10</v>
      </c>
      <c r="G289" s="42">
        <v>55.8</v>
      </c>
      <c r="H289" s="48">
        <v>0</v>
      </c>
      <c r="I289" s="43">
        <v>55.8</v>
      </c>
      <c r="J289" s="44">
        <v>558</v>
      </c>
    </row>
    <row r="290" spans="2:10">
      <c r="B290" s="47">
        <v>289</v>
      </c>
      <c r="C290" s="46" t="s">
        <v>629</v>
      </c>
      <c r="D290" s="33" t="s">
        <v>630</v>
      </c>
      <c r="E290" s="46" t="s">
        <v>159</v>
      </c>
      <c r="F290" s="46">
        <v>10</v>
      </c>
      <c r="G290" s="42">
        <v>251.9</v>
      </c>
      <c r="H290" s="48">
        <v>0</v>
      </c>
      <c r="I290" s="43">
        <v>251.9</v>
      </c>
      <c r="J290" s="44">
        <v>2519</v>
      </c>
    </row>
    <row r="291" spans="2:10">
      <c r="B291" s="45">
        <v>290</v>
      </c>
      <c r="C291" s="46" t="s">
        <v>631</v>
      </c>
      <c r="D291" s="33" t="s">
        <v>632</v>
      </c>
      <c r="E291" s="46" t="s">
        <v>159</v>
      </c>
      <c r="F291" s="46">
        <v>10</v>
      </c>
      <c r="G291" s="42">
        <v>328.25</v>
      </c>
      <c r="H291" s="48">
        <v>0</v>
      </c>
      <c r="I291" s="43">
        <v>328.25</v>
      </c>
      <c r="J291" s="44">
        <v>3282.5</v>
      </c>
    </row>
    <row r="292" spans="2:10">
      <c r="B292" s="47">
        <v>291</v>
      </c>
      <c r="C292" s="46" t="s">
        <v>633</v>
      </c>
      <c r="D292" s="33" t="s">
        <v>634</v>
      </c>
      <c r="E292" s="46" t="s">
        <v>159</v>
      </c>
      <c r="F292" s="46">
        <v>10</v>
      </c>
      <c r="G292" s="42">
        <v>658</v>
      </c>
      <c r="H292" s="48">
        <v>0</v>
      </c>
      <c r="I292" s="43">
        <v>658</v>
      </c>
      <c r="J292" s="44">
        <v>6580</v>
      </c>
    </row>
    <row r="293" spans="2:10">
      <c r="B293" s="45">
        <v>292</v>
      </c>
      <c r="C293" s="46" t="s">
        <v>635</v>
      </c>
      <c r="D293" s="33" t="s">
        <v>636</v>
      </c>
      <c r="E293" s="46" t="s">
        <v>159</v>
      </c>
      <c r="F293" s="46">
        <v>10</v>
      </c>
      <c r="G293" s="42">
        <v>335.6</v>
      </c>
      <c r="H293" s="48">
        <v>0</v>
      </c>
      <c r="I293" s="43">
        <v>335.6</v>
      </c>
      <c r="J293" s="44">
        <v>3356</v>
      </c>
    </row>
    <row r="294" spans="2:10">
      <c r="B294" s="47">
        <v>293</v>
      </c>
      <c r="C294" s="46" t="s">
        <v>637</v>
      </c>
      <c r="D294" s="33" t="s">
        <v>638</v>
      </c>
      <c r="E294" s="46" t="s">
        <v>159</v>
      </c>
      <c r="F294" s="46">
        <v>10</v>
      </c>
      <c r="G294" s="42">
        <v>261.89999999999998</v>
      </c>
      <c r="H294" s="48">
        <v>0</v>
      </c>
      <c r="I294" s="43">
        <v>261.89999999999998</v>
      </c>
      <c r="J294" s="44">
        <v>2619</v>
      </c>
    </row>
    <row r="295" spans="2:10">
      <c r="B295" s="45">
        <v>294</v>
      </c>
      <c r="C295" s="46" t="s">
        <v>639</v>
      </c>
      <c r="D295" s="33" t="s">
        <v>640</v>
      </c>
      <c r="E295" s="46" t="s">
        <v>61</v>
      </c>
      <c r="F295" s="46">
        <v>2</v>
      </c>
      <c r="G295" s="42">
        <v>575.65</v>
      </c>
      <c r="H295" s="48">
        <v>0</v>
      </c>
      <c r="I295" s="43">
        <v>575.65</v>
      </c>
      <c r="J295" s="44">
        <v>1151.3</v>
      </c>
    </row>
    <row r="296" spans="2:10">
      <c r="B296" s="47">
        <v>295</v>
      </c>
      <c r="C296" s="46" t="s">
        <v>641</v>
      </c>
      <c r="D296" s="33" t="s">
        <v>642</v>
      </c>
      <c r="E296" s="46" t="s">
        <v>159</v>
      </c>
      <c r="F296" s="46">
        <v>10</v>
      </c>
      <c r="G296" s="42">
        <v>515.70000000000005</v>
      </c>
      <c r="H296" s="48">
        <v>0</v>
      </c>
      <c r="I296" s="43">
        <v>515.70000000000005</v>
      </c>
      <c r="J296" s="44">
        <v>5157</v>
      </c>
    </row>
    <row r="297" spans="2:10">
      <c r="B297" s="45">
        <v>296</v>
      </c>
      <c r="C297" s="46" t="s">
        <v>643</v>
      </c>
      <c r="D297" s="33" t="s">
        <v>644</v>
      </c>
      <c r="E297" s="46" t="s">
        <v>159</v>
      </c>
      <c r="F297" s="46">
        <v>2</v>
      </c>
      <c r="G297" s="42">
        <v>1120</v>
      </c>
      <c r="H297" s="48">
        <v>0</v>
      </c>
      <c r="I297" s="43">
        <v>1120</v>
      </c>
      <c r="J297" s="44">
        <v>2240</v>
      </c>
    </row>
    <row r="298" spans="2:10">
      <c r="B298" s="47">
        <v>297</v>
      </c>
      <c r="C298" s="46" t="s">
        <v>645</v>
      </c>
      <c r="D298" s="33" t="s">
        <v>646</v>
      </c>
      <c r="E298" s="46" t="s">
        <v>159</v>
      </c>
      <c r="F298" s="46">
        <v>10</v>
      </c>
      <c r="G298" s="42">
        <v>571.6</v>
      </c>
      <c r="H298" s="48">
        <v>0</v>
      </c>
      <c r="I298" s="43">
        <v>571.6</v>
      </c>
      <c r="J298" s="44">
        <v>5716</v>
      </c>
    </row>
    <row r="299" spans="2:10">
      <c r="B299" s="45">
        <v>298</v>
      </c>
      <c r="C299" s="46" t="s">
        <v>647</v>
      </c>
      <c r="D299" s="33" t="s">
        <v>648</v>
      </c>
      <c r="E299" s="46" t="s">
        <v>159</v>
      </c>
      <c r="F299" s="46">
        <v>10</v>
      </c>
      <c r="G299" s="42">
        <v>92.9</v>
      </c>
      <c r="H299" s="48">
        <v>0</v>
      </c>
      <c r="I299" s="43">
        <v>92.9</v>
      </c>
      <c r="J299" s="44">
        <v>929</v>
      </c>
    </row>
    <row r="300" spans="2:10" ht="26.1">
      <c r="B300" s="47">
        <v>299</v>
      </c>
      <c r="C300" s="46" t="s">
        <v>649</v>
      </c>
      <c r="D300" s="33" t="s">
        <v>650</v>
      </c>
      <c r="E300" s="46" t="s">
        <v>159</v>
      </c>
      <c r="F300" s="46">
        <v>2</v>
      </c>
      <c r="G300" s="42">
        <v>102.7</v>
      </c>
      <c r="H300" s="48">
        <v>0</v>
      </c>
      <c r="I300" s="43">
        <v>102.7</v>
      </c>
      <c r="J300" s="44">
        <v>205.4</v>
      </c>
    </row>
    <row r="301" spans="2:10" ht="26.1">
      <c r="B301" s="45">
        <v>300</v>
      </c>
      <c r="C301" s="46" t="s">
        <v>651</v>
      </c>
      <c r="D301" s="33" t="s">
        <v>652</v>
      </c>
      <c r="E301" s="46" t="s">
        <v>159</v>
      </c>
      <c r="F301" s="46">
        <v>2</v>
      </c>
      <c r="G301" s="42">
        <v>136.5</v>
      </c>
      <c r="H301" s="48">
        <v>0</v>
      </c>
      <c r="I301" s="43">
        <v>136.5</v>
      </c>
      <c r="J301" s="44">
        <v>273</v>
      </c>
    </row>
    <row r="302" spans="2:10">
      <c r="B302" s="47">
        <v>301</v>
      </c>
      <c r="C302" s="46" t="s">
        <v>653</v>
      </c>
      <c r="D302" s="33" t="s">
        <v>654</v>
      </c>
      <c r="E302" s="46" t="s">
        <v>61</v>
      </c>
      <c r="F302" s="46">
        <v>10</v>
      </c>
      <c r="G302" s="42">
        <v>5.98</v>
      </c>
      <c r="H302" s="48">
        <v>0</v>
      </c>
      <c r="I302" s="43">
        <v>5.98</v>
      </c>
      <c r="J302" s="44">
        <v>59.800000000000004</v>
      </c>
    </row>
    <row r="303" spans="2:10">
      <c r="B303" s="45">
        <v>302</v>
      </c>
      <c r="C303" s="46" t="s">
        <v>655</v>
      </c>
      <c r="D303" s="33" t="s">
        <v>656</v>
      </c>
      <c r="E303" s="46" t="s">
        <v>61</v>
      </c>
      <c r="F303" s="46">
        <v>40</v>
      </c>
      <c r="G303" s="42">
        <v>9.6</v>
      </c>
      <c r="H303" s="48">
        <v>0</v>
      </c>
      <c r="I303" s="43">
        <v>9.6</v>
      </c>
      <c r="J303" s="44">
        <v>384</v>
      </c>
    </row>
    <row r="304" spans="2:10">
      <c r="B304" s="47">
        <v>303</v>
      </c>
      <c r="C304" s="46" t="s">
        <v>657</v>
      </c>
      <c r="D304" s="33" t="s">
        <v>658</v>
      </c>
      <c r="E304" s="46" t="s">
        <v>61</v>
      </c>
      <c r="F304" s="46">
        <v>50</v>
      </c>
      <c r="G304" s="42">
        <v>5.6</v>
      </c>
      <c r="H304" s="48">
        <v>0</v>
      </c>
      <c r="I304" s="43">
        <v>5.6</v>
      </c>
      <c r="J304" s="44">
        <v>280</v>
      </c>
    </row>
    <row r="305" spans="2:10">
      <c r="B305" s="45">
        <v>304</v>
      </c>
      <c r="C305" s="46" t="s">
        <v>659</v>
      </c>
      <c r="D305" s="33" t="s">
        <v>660</v>
      </c>
      <c r="E305" s="46" t="s">
        <v>61</v>
      </c>
      <c r="F305" s="46">
        <v>10</v>
      </c>
      <c r="G305" s="42">
        <v>7.65</v>
      </c>
      <c r="H305" s="48">
        <v>0</v>
      </c>
      <c r="I305" s="43">
        <v>7.65</v>
      </c>
      <c r="J305" s="44">
        <v>76.5</v>
      </c>
    </row>
    <row r="306" spans="2:10">
      <c r="B306" s="47">
        <v>305</v>
      </c>
      <c r="C306" s="46" t="s">
        <v>661</v>
      </c>
      <c r="D306" s="33" t="s">
        <v>662</v>
      </c>
      <c r="E306" s="46" t="s">
        <v>61</v>
      </c>
      <c r="F306" s="46">
        <v>10</v>
      </c>
      <c r="G306" s="42">
        <v>5.98</v>
      </c>
      <c r="H306" s="48">
        <v>0</v>
      </c>
      <c r="I306" s="43">
        <v>5.98</v>
      </c>
      <c r="J306" s="44">
        <v>59.800000000000004</v>
      </c>
    </row>
    <row r="307" spans="2:10">
      <c r="B307" s="45">
        <v>306</v>
      </c>
      <c r="C307" s="46" t="s">
        <v>663</v>
      </c>
      <c r="D307" s="33" t="s">
        <v>664</v>
      </c>
      <c r="E307" s="46" t="s">
        <v>61</v>
      </c>
      <c r="F307" s="46">
        <v>40</v>
      </c>
      <c r="G307" s="42">
        <v>12.7</v>
      </c>
      <c r="H307" s="48">
        <v>0</v>
      </c>
      <c r="I307" s="43">
        <v>12.7</v>
      </c>
      <c r="J307" s="44">
        <v>508</v>
      </c>
    </row>
    <row r="308" spans="2:10">
      <c r="B308" s="47">
        <v>307</v>
      </c>
      <c r="C308" s="46" t="s">
        <v>665</v>
      </c>
      <c r="D308" s="33" t="s">
        <v>666</v>
      </c>
      <c r="E308" s="46" t="s">
        <v>61</v>
      </c>
      <c r="F308" s="46">
        <v>10</v>
      </c>
      <c r="G308" s="42">
        <v>4.8</v>
      </c>
      <c r="H308" s="48">
        <v>0</v>
      </c>
      <c r="I308" s="43">
        <v>4.8</v>
      </c>
      <c r="J308" s="44">
        <v>48</v>
      </c>
    </row>
    <row r="309" spans="2:10">
      <c r="B309" s="45">
        <v>308</v>
      </c>
      <c r="C309" s="46" t="s">
        <v>667</v>
      </c>
      <c r="D309" s="33" t="s">
        <v>668</v>
      </c>
      <c r="E309" s="46" t="s">
        <v>61</v>
      </c>
      <c r="F309" s="46">
        <v>10</v>
      </c>
      <c r="G309" s="42">
        <v>13.4</v>
      </c>
      <c r="H309" s="48">
        <v>0</v>
      </c>
      <c r="I309" s="43">
        <v>13.4</v>
      </c>
      <c r="J309" s="44">
        <v>134</v>
      </c>
    </row>
    <row r="310" spans="2:10">
      <c r="B310" s="47">
        <v>309</v>
      </c>
      <c r="C310" s="46" t="s">
        <v>669</v>
      </c>
      <c r="D310" s="33" t="s">
        <v>670</v>
      </c>
      <c r="E310" s="46" t="s">
        <v>61</v>
      </c>
      <c r="F310" s="46">
        <v>10</v>
      </c>
      <c r="G310" s="42">
        <v>1.71</v>
      </c>
      <c r="H310" s="48">
        <v>0</v>
      </c>
      <c r="I310" s="43">
        <v>1.71</v>
      </c>
      <c r="J310" s="44">
        <v>17.100000000000001</v>
      </c>
    </row>
    <row r="311" spans="2:10">
      <c r="B311" s="45">
        <v>310</v>
      </c>
      <c r="C311" s="46" t="s">
        <v>671</v>
      </c>
      <c r="D311" s="33" t="s">
        <v>672</v>
      </c>
      <c r="E311" s="46" t="s">
        <v>61</v>
      </c>
      <c r="F311" s="46">
        <v>40</v>
      </c>
      <c r="G311" s="42">
        <v>3.2</v>
      </c>
      <c r="H311" s="48">
        <v>0</v>
      </c>
      <c r="I311" s="43">
        <v>3.2</v>
      </c>
      <c r="J311" s="44">
        <v>128</v>
      </c>
    </row>
    <row r="312" spans="2:10">
      <c r="B312" s="47">
        <v>311</v>
      </c>
      <c r="C312" s="46" t="s">
        <v>673</v>
      </c>
      <c r="D312" s="33" t="s">
        <v>674</v>
      </c>
      <c r="E312" s="46" t="s">
        <v>61</v>
      </c>
      <c r="F312" s="46">
        <v>10</v>
      </c>
      <c r="G312" s="42">
        <v>8.9</v>
      </c>
      <c r="H312" s="48">
        <v>0</v>
      </c>
      <c r="I312" s="43">
        <v>8.9</v>
      </c>
      <c r="J312" s="44">
        <v>89</v>
      </c>
    </row>
    <row r="313" spans="2:10">
      <c r="B313" s="45">
        <v>312</v>
      </c>
      <c r="C313" s="46" t="s">
        <v>675</v>
      </c>
      <c r="D313" s="33" t="s">
        <v>676</v>
      </c>
      <c r="E313" s="46" t="s">
        <v>61</v>
      </c>
      <c r="F313" s="46">
        <v>10</v>
      </c>
      <c r="G313" s="42">
        <v>13.2</v>
      </c>
      <c r="H313" s="48">
        <v>0</v>
      </c>
      <c r="I313" s="43">
        <v>13.2</v>
      </c>
      <c r="J313" s="44">
        <v>132</v>
      </c>
    </row>
    <row r="314" spans="2:10">
      <c r="B314" s="47">
        <v>313</v>
      </c>
      <c r="C314" s="46" t="s">
        <v>677</v>
      </c>
      <c r="D314" s="33" t="s">
        <v>678</v>
      </c>
      <c r="E314" s="46" t="s">
        <v>61</v>
      </c>
      <c r="F314" s="46">
        <v>10</v>
      </c>
      <c r="G314" s="42">
        <v>2.2000000000000002</v>
      </c>
      <c r="H314" s="48">
        <v>0</v>
      </c>
      <c r="I314" s="43">
        <v>2.2000000000000002</v>
      </c>
      <c r="J314" s="44">
        <v>22</v>
      </c>
    </row>
    <row r="315" spans="2:10">
      <c r="B315" s="45">
        <v>314</v>
      </c>
      <c r="C315" s="46" t="s">
        <v>679</v>
      </c>
      <c r="D315" s="33" t="s">
        <v>680</v>
      </c>
      <c r="E315" s="46" t="s">
        <v>61</v>
      </c>
      <c r="F315" s="46">
        <v>40</v>
      </c>
      <c r="G315" s="42">
        <v>27.7</v>
      </c>
      <c r="H315" s="48">
        <v>0</v>
      </c>
      <c r="I315" s="43">
        <v>27.7</v>
      </c>
      <c r="J315" s="44">
        <v>1108</v>
      </c>
    </row>
    <row r="316" spans="2:10">
      <c r="B316" s="47">
        <v>315</v>
      </c>
      <c r="C316" s="46" t="s">
        <v>681</v>
      </c>
      <c r="D316" s="33" t="s">
        <v>682</v>
      </c>
      <c r="E316" s="46" t="s">
        <v>61</v>
      </c>
      <c r="F316" s="46">
        <v>10</v>
      </c>
      <c r="G316" s="42">
        <v>2</v>
      </c>
      <c r="H316" s="48">
        <v>0</v>
      </c>
      <c r="I316" s="43">
        <v>2</v>
      </c>
      <c r="J316" s="44">
        <v>20</v>
      </c>
    </row>
    <row r="317" spans="2:10">
      <c r="B317" s="45">
        <v>316</v>
      </c>
      <c r="C317" s="46" t="s">
        <v>683</v>
      </c>
      <c r="D317" s="33" t="s">
        <v>684</v>
      </c>
      <c r="E317" s="46" t="s">
        <v>61</v>
      </c>
      <c r="F317" s="46">
        <v>40</v>
      </c>
      <c r="G317" s="42">
        <v>9.9</v>
      </c>
      <c r="H317" s="48">
        <v>0</v>
      </c>
      <c r="I317" s="43">
        <v>9.9</v>
      </c>
      <c r="J317" s="44">
        <v>396</v>
      </c>
    </row>
    <row r="318" spans="2:10">
      <c r="B318" s="47">
        <v>317</v>
      </c>
      <c r="C318" s="46" t="s">
        <v>685</v>
      </c>
      <c r="D318" s="33" t="s">
        <v>686</v>
      </c>
      <c r="E318" s="46" t="s">
        <v>61</v>
      </c>
      <c r="F318" s="46">
        <v>40</v>
      </c>
      <c r="G318" s="42">
        <v>9.9</v>
      </c>
      <c r="H318" s="48">
        <v>0</v>
      </c>
      <c r="I318" s="43">
        <v>9.9</v>
      </c>
      <c r="J318" s="44">
        <v>396</v>
      </c>
    </row>
    <row r="319" spans="2:10">
      <c r="B319" s="45">
        <v>318</v>
      </c>
      <c r="C319" s="46" t="s">
        <v>687</v>
      </c>
      <c r="D319" s="33" t="s">
        <v>688</v>
      </c>
      <c r="E319" s="46" t="s">
        <v>61</v>
      </c>
      <c r="F319" s="46">
        <v>40</v>
      </c>
      <c r="G319" s="42">
        <v>6.3</v>
      </c>
      <c r="H319" s="48">
        <v>0</v>
      </c>
      <c r="I319" s="43">
        <v>6.3</v>
      </c>
      <c r="J319" s="44">
        <v>252</v>
      </c>
    </row>
    <row r="320" spans="2:10">
      <c r="B320" s="47">
        <v>319</v>
      </c>
      <c r="C320" s="46" t="s">
        <v>689</v>
      </c>
      <c r="D320" s="33" t="s">
        <v>690</v>
      </c>
      <c r="E320" s="46" t="s">
        <v>159</v>
      </c>
      <c r="F320" s="46">
        <v>10</v>
      </c>
      <c r="G320" s="42">
        <v>15.5</v>
      </c>
      <c r="H320" s="48">
        <v>0</v>
      </c>
      <c r="I320" s="43">
        <v>15.5</v>
      </c>
      <c r="J320" s="44">
        <v>155</v>
      </c>
    </row>
    <row r="321" spans="2:10">
      <c r="B321" s="45">
        <v>320</v>
      </c>
      <c r="C321" s="46" t="s">
        <v>691</v>
      </c>
      <c r="D321" s="33" t="s">
        <v>692</v>
      </c>
      <c r="E321" s="46" t="s">
        <v>159</v>
      </c>
      <c r="F321" s="46">
        <v>10</v>
      </c>
      <c r="G321" s="42">
        <v>15.2</v>
      </c>
      <c r="H321" s="48">
        <v>0</v>
      </c>
      <c r="I321" s="43">
        <v>15.2</v>
      </c>
      <c r="J321" s="44">
        <v>152</v>
      </c>
    </row>
    <row r="322" spans="2:10">
      <c r="B322" s="47">
        <v>321</v>
      </c>
      <c r="C322" s="46" t="s">
        <v>693</v>
      </c>
      <c r="D322" s="33" t="s">
        <v>694</v>
      </c>
      <c r="E322" s="46" t="s">
        <v>61</v>
      </c>
      <c r="F322" s="46">
        <v>40</v>
      </c>
      <c r="G322" s="42">
        <v>12.4</v>
      </c>
      <c r="H322" s="48">
        <v>0</v>
      </c>
      <c r="I322" s="43">
        <v>12.4</v>
      </c>
      <c r="J322" s="44">
        <v>496</v>
      </c>
    </row>
    <row r="323" spans="2:10">
      <c r="B323" s="45">
        <v>322</v>
      </c>
      <c r="C323" s="46" t="s">
        <v>695</v>
      </c>
      <c r="D323" s="33" t="s">
        <v>696</v>
      </c>
      <c r="E323" s="46" t="s">
        <v>159</v>
      </c>
      <c r="F323" s="46">
        <v>10</v>
      </c>
      <c r="G323" s="42">
        <v>13.3</v>
      </c>
      <c r="H323" s="48">
        <v>0</v>
      </c>
      <c r="I323" s="43">
        <v>13.3</v>
      </c>
      <c r="J323" s="44">
        <v>133</v>
      </c>
    </row>
    <row r="324" spans="2:10">
      <c r="B324" s="47">
        <v>323</v>
      </c>
      <c r="C324" s="46" t="s">
        <v>697</v>
      </c>
      <c r="D324" s="33" t="s">
        <v>698</v>
      </c>
      <c r="E324" s="46" t="s">
        <v>159</v>
      </c>
      <c r="F324" s="46">
        <v>10</v>
      </c>
      <c r="G324" s="42">
        <v>15.5</v>
      </c>
      <c r="H324" s="48">
        <v>0</v>
      </c>
      <c r="I324" s="43">
        <v>15.5</v>
      </c>
      <c r="J324" s="44">
        <v>155</v>
      </c>
    </row>
    <row r="325" spans="2:10">
      <c r="B325" s="45">
        <v>324</v>
      </c>
      <c r="C325" s="46" t="s">
        <v>699</v>
      </c>
      <c r="D325" s="33" t="s">
        <v>700</v>
      </c>
      <c r="E325" s="46" t="s">
        <v>159</v>
      </c>
      <c r="F325" s="46">
        <v>10</v>
      </c>
      <c r="G325" s="42">
        <v>1.95</v>
      </c>
      <c r="H325" s="48">
        <v>0</v>
      </c>
      <c r="I325" s="43">
        <v>1.95</v>
      </c>
      <c r="J325" s="44">
        <v>19.5</v>
      </c>
    </row>
    <row r="326" spans="2:10">
      <c r="B326" s="47">
        <v>325</v>
      </c>
      <c r="C326" s="46" t="s">
        <v>701</v>
      </c>
      <c r="D326" s="33" t="s">
        <v>702</v>
      </c>
      <c r="E326" s="46" t="s">
        <v>159</v>
      </c>
      <c r="F326" s="46">
        <v>10</v>
      </c>
      <c r="G326" s="42">
        <v>11.7</v>
      </c>
      <c r="H326" s="48">
        <v>0</v>
      </c>
      <c r="I326" s="43">
        <v>11.7</v>
      </c>
      <c r="J326" s="44">
        <v>117</v>
      </c>
    </row>
    <row r="327" spans="2:10" ht="26.1">
      <c r="B327" s="45">
        <v>326</v>
      </c>
      <c r="C327" s="46" t="s">
        <v>703</v>
      </c>
      <c r="D327" s="33" t="s">
        <v>704</v>
      </c>
      <c r="E327" s="46" t="s">
        <v>159</v>
      </c>
      <c r="F327" s="46">
        <v>10</v>
      </c>
      <c r="G327" s="42">
        <v>41.9</v>
      </c>
      <c r="H327" s="48">
        <v>0</v>
      </c>
      <c r="I327" s="43">
        <v>41.9</v>
      </c>
      <c r="J327" s="44">
        <v>419</v>
      </c>
    </row>
    <row r="328" spans="2:10">
      <c r="B328" s="47">
        <v>327</v>
      </c>
      <c r="C328" s="46" t="s">
        <v>705</v>
      </c>
      <c r="D328" s="33" t="s">
        <v>706</v>
      </c>
      <c r="E328" s="46" t="s">
        <v>159</v>
      </c>
      <c r="F328" s="46">
        <v>10</v>
      </c>
      <c r="G328" s="42">
        <v>180</v>
      </c>
      <c r="H328" s="48">
        <v>0</v>
      </c>
      <c r="I328" s="43">
        <v>180</v>
      </c>
      <c r="J328" s="44">
        <v>1800</v>
      </c>
    </row>
    <row r="329" spans="2:10">
      <c r="B329" s="45">
        <v>328</v>
      </c>
      <c r="C329" s="46" t="s">
        <v>707</v>
      </c>
      <c r="D329" s="33" t="s">
        <v>708</v>
      </c>
      <c r="E329" s="46" t="s">
        <v>61</v>
      </c>
      <c r="F329" s="46">
        <v>40</v>
      </c>
      <c r="G329" s="42">
        <v>12.86</v>
      </c>
      <c r="H329" s="48">
        <v>0</v>
      </c>
      <c r="I329" s="43">
        <v>12.86</v>
      </c>
      <c r="J329" s="44">
        <v>514.4</v>
      </c>
    </row>
    <row r="330" spans="2:10">
      <c r="B330" s="47">
        <v>329</v>
      </c>
      <c r="C330" s="46" t="s">
        <v>709</v>
      </c>
      <c r="D330" s="33" t="s">
        <v>710</v>
      </c>
      <c r="E330" s="46" t="s">
        <v>61</v>
      </c>
      <c r="F330" s="46">
        <v>40</v>
      </c>
      <c r="G330" s="42">
        <v>23</v>
      </c>
      <c r="H330" s="48">
        <v>0</v>
      </c>
      <c r="I330" s="43">
        <v>23</v>
      </c>
      <c r="J330" s="44">
        <v>920</v>
      </c>
    </row>
    <row r="331" spans="2:10" ht="26.1">
      <c r="B331" s="45">
        <v>330</v>
      </c>
      <c r="C331" s="46" t="s">
        <v>711</v>
      </c>
      <c r="D331" s="33" t="s">
        <v>712</v>
      </c>
      <c r="E331" s="46" t="s">
        <v>159</v>
      </c>
      <c r="F331" s="46">
        <v>10</v>
      </c>
      <c r="G331" s="42">
        <v>110.1</v>
      </c>
      <c r="H331" s="48">
        <v>0</v>
      </c>
      <c r="I331" s="43">
        <v>110.1</v>
      </c>
      <c r="J331" s="44">
        <v>1101</v>
      </c>
    </row>
    <row r="332" spans="2:10" ht="26.1">
      <c r="B332" s="47">
        <v>331</v>
      </c>
      <c r="C332" s="46" t="s">
        <v>713</v>
      </c>
      <c r="D332" s="33" t="s">
        <v>714</v>
      </c>
      <c r="E332" s="46" t="s">
        <v>159</v>
      </c>
      <c r="F332" s="46">
        <v>2</v>
      </c>
      <c r="G332" s="42">
        <v>204</v>
      </c>
      <c r="H332" s="48">
        <v>0</v>
      </c>
      <c r="I332" s="43">
        <v>204</v>
      </c>
      <c r="J332" s="44">
        <v>408</v>
      </c>
    </row>
    <row r="333" spans="2:10">
      <c r="B333" s="45">
        <v>332</v>
      </c>
      <c r="C333" s="46" t="s">
        <v>715</v>
      </c>
      <c r="D333" s="33" t="s">
        <v>716</v>
      </c>
      <c r="E333" s="46" t="s">
        <v>159</v>
      </c>
      <c r="F333" s="46">
        <v>10</v>
      </c>
      <c r="G333" s="42">
        <v>17.690000000000001</v>
      </c>
      <c r="H333" s="48">
        <v>0</v>
      </c>
      <c r="I333" s="43">
        <v>17.690000000000001</v>
      </c>
      <c r="J333" s="44">
        <v>176.9</v>
      </c>
    </row>
    <row r="334" spans="2:10">
      <c r="B334" s="47">
        <v>333</v>
      </c>
      <c r="C334" s="46" t="s">
        <v>717</v>
      </c>
      <c r="D334" s="33" t="s">
        <v>718</v>
      </c>
      <c r="E334" s="46" t="s">
        <v>159</v>
      </c>
      <c r="F334" s="46">
        <v>10</v>
      </c>
      <c r="G334" s="42">
        <v>23.23</v>
      </c>
      <c r="H334" s="48">
        <v>0</v>
      </c>
      <c r="I334" s="43">
        <v>23.23</v>
      </c>
      <c r="J334" s="44">
        <v>232.3</v>
      </c>
    </row>
    <row r="335" spans="2:10">
      <c r="B335" s="45">
        <v>334</v>
      </c>
      <c r="C335" s="46" t="s">
        <v>719</v>
      </c>
      <c r="D335" s="33" t="s">
        <v>720</v>
      </c>
      <c r="E335" s="46" t="s">
        <v>159</v>
      </c>
      <c r="F335" s="46">
        <v>10</v>
      </c>
      <c r="G335" s="42">
        <v>56.99</v>
      </c>
      <c r="H335" s="48">
        <v>0</v>
      </c>
      <c r="I335" s="43">
        <v>56.99</v>
      </c>
      <c r="J335" s="44">
        <v>569.9</v>
      </c>
    </row>
    <row r="336" spans="2:10">
      <c r="B336" s="47">
        <v>335</v>
      </c>
      <c r="C336" s="46" t="s">
        <v>721</v>
      </c>
      <c r="D336" s="33" t="s">
        <v>722</v>
      </c>
      <c r="E336" s="46" t="s">
        <v>159</v>
      </c>
      <c r="F336" s="46">
        <v>10</v>
      </c>
      <c r="G336" s="42">
        <v>59.87</v>
      </c>
      <c r="H336" s="48">
        <v>0</v>
      </c>
      <c r="I336" s="43">
        <v>59.87</v>
      </c>
      <c r="J336" s="44">
        <v>598.69999999999993</v>
      </c>
    </row>
    <row r="337" spans="2:10">
      <c r="B337" s="45">
        <v>336</v>
      </c>
      <c r="C337" s="46" t="s">
        <v>723</v>
      </c>
      <c r="D337" s="33" t="s">
        <v>724</v>
      </c>
      <c r="E337" s="46" t="s">
        <v>159</v>
      </c>
      <c r="F337" s="46">
        <v>10</v>
      </c>
      <c r="G337" s="42">
        <v>86</v>
      </c>
      <c r="H337" s="48">
        <v>0</v>
      </c>
      <c r="I337" s="43">
        <v>86</v>
      </c>
      <c r="J337" s="44">
        <v>860</v>
      </c>
    </row>
    <row r="338" spans="2:10">
      <c r="B338" s="47">
        <v>337</v>
      </c>
      <c r="C338" s="46" t="s">
        <v>725</v>
      </c>
      <c r="D338" s="33" t="s">
        <v>726</v>
      </c>
      <c r="E338" s="46" t="s">
        <v>159</v>
      </c>
      <c r="F338" s="46">
        <v>10</v>
      </c>
      <c r="G338" s="42">
        <v>16.89</v>
      </c>
      <c r="H338" s="48">
        <v>0</v>
      </c>
      <c r="I338" s="43">
        <v>16.89</v>
      </c>
      <c r="J338" s="44">
        <v>168.9</v>
      </c>
    </row>
    <row r="339" spans="2:10">
      <c r="B339" s="45">
        <v>338</v>
      </c>
      <c r="C339" s="46" t="s">
        <v>727</v>
      </c>
      <c r="D339" s="33" t="s">
        <v>728</v>
      </c>
      <c r="E339" s="46" t="s">
        <v>159</v>
      </c>
      <c r="F339" s="46">
        <v>10</v>
      </c>
      <c r="G339" s="42">
        <v>14.41</v>
      </c>
      <c r="H339" s="48">
        <v>0</v>
      </c>
      <c r="I339" s="43">
        <v>14.41</v>
      </c>
      <c r="J339" s="44">
        <v>144.1</v>
      </c>
    </row>
    <row r="340" spans="2:10">
      <c r="B340" s="47">
        <v>339</v>
      </c>
      <c r="C340" s="46" t="s">
        <v>729</v>
      </c>
      <c r="D340" s="33" t="s">
        <v>730</v>
      </c>
      <c r="E340" s="46" t="s">
        <v>159</v>
      </c>
      <c r="F340" s="46">
        <v>10</v>
      </c>
      <c r="G340" s="42">
        <v>17.2</v>
      </c>
      <c r="H340" s="48">
        <v>0</v>
      </c>
      <c r="I340" s="43">
        <v>17.2</v>
      </c>
      <c r="J340" s="44">
        <v>172</v>
      </c>
    </row>
    <row r="341" spans="2:10">
      <c r="B341" s="45">
        <v>340</v>
      </c>
      <c r="C341" s="46" t="s">
        <v>731</v>
      </c>
      <c r="D341" s="33" t="s">
        <v>732</v>
      </c>
      <c r="E341" s="46" t="s">
        <v>159</v>
      </c>
      <c r="F341" s="46">
        <v>10</v>
      </c>
      <c r="G341" s="42">
        <v>17.2</v>
      </c>
      <c r="H341" s="48">
        <v>0</v>
      </c>
      <c r="I341" s="43">
        <v>17.2</v>
      </c>
      <c r="J341" s="44">
        <v>172</v>
      </c>
    </row>
    <row r="342" spans="2:10">
      <c r="B342" s="47">
        <v>341</v>
      </c>
      <c r="C342" s="46" t="s">
        <v>733</v>
      </c>
      <c r="D342" s="33" t="s">
        <v>734</v>
      </c>
      <c r="E342" s="46" t="s">
        <v>159</v>
      </c>
      <c r="F342" s="46">
        <v>10</v>
      </c>
      <c r="G342" s="42">
        <v>4.18</v>
      </c>
      <c r="H342" s="48">
        <v>0</v>
      </c>
      <c r="I342" s="43">
        <v>4.18</v>
      </c>
      <c r="J342" s="44">
        <v>41.8</v>
      </c>
    </row>
    <row r="343" spans="2:10">
      <c r="B343" s="45">
        <v>342</v>
      </c>
      <c r="C343" s="46" t="s">
        <v>735</v>
      </c>
      <c r="D343" s="33" t="s">
        <v>736</v>
      </c>
      <c r="E343" s="46" t="s">
        <v>159</v>
      </c>
      <c r="F343" s="46">
        <v>40</v>
      </c>
      <c r="G343" s="42">
        <v>18.010000000000002</v>
      </c>
      <c r="H343" s="48">
        <v>0</v>
      </c>
      <c r="I343" s="43">
        <v>18.010000000000002</v>
      </c>
      <c r="J343" s="44">
        <v>720.40000000000009</v>
      </c>
    </row>
    <row r="344" spans="2:10">
      <c r="B344" s="47">
        <v>343</v>
      </c>
      <c r="C344" s="46" t="s">
        <v>737</v>
      </c>
      <c r="D344" s="33" t="s">
        <v>738</v>
      </c>
      <c r="E344" s="46" t="s">
        <v>159</v>
      </c>
      <c r="F344" s="46">
        <v>10</v>
      </c>
      <c r="G344" s="42">
        <v>28.48</v>
      </c>
      <c r="H344" s="48">
        <v>0</v>
      </c>
      <c r="I344" s="43">
        <v>28.48</v>
      </c>
      <c r="J344" s="44">
        <v>284.8</v>
      </c>
    </row>
    <row r="345" spans="2:10">
      <c r="B345" s="45">
        <v>344</v>
      </c>
      <c r="C345" s="46" t="s">
        <v>739</v>
      </c>
      <c r="D345" s="33" t="s">
        <v>740</v>
      </c>
      <c r="E345" s="46" t="s">
        <v>159</v>
      </c>
      <c r="F345" s="46">
        <v>10</v>
      </c>
      <c r="G345" s="42">
        <v>52.96</v>
      </c>
      <c r="H345" s="48">
        <v>0</v>
      </c>
      <c r="I345" s="43">
        <v>52.96</v>
      </c>
      <c r="J345" s="44">
        <v>529.6</v>
      </c>
    </row>
    <row r="346" spans="2:10">
      <c r="B346" s="47">
        <v>345</v>
      </c>
      <c r="C346" s="46" t="s">
        <v>741</v>
      </c>
      <c r="D346" s="33" t="s">
        <v>742</v>
      </c>
      <c r="E346" s="46" t="s">
        <v>159</v>
      </c>
      <c r="F346" s="46">
        <v>10</v>
      </c>
      <c r="G346" s="42">
        <v>116</v>
      </c>
      <c r="H346" s="48">
        <v>0</v>
      </c>
      <c r="I346" s="43">
        <v>116</v>
      </c>
      <c r="J346" s="44">
        <v>1160</v>
      </c>
    </row>
    <row r="347" spans="2:10">
      <c r="B347" s="45">
        <v>346</v>
      </c>
      <c r="C347" s="46" t="s">
        <v>743</v>
      </c>
      <c r="D347" s="33" t="s">
        <v>744</v>
      </c>
      <c r="E347" s="46" t="s">
        <v>159</v>
      </c>
      <c r="F347" s="46">
        <v>10</v>
      </c>
      <c r="G347" s="42">
        <v>180</v>
      </c>
      <c r="H347" s="48">
        <v>0</v>
      </c>
      <c r="I347" s="43">
        <v>180</v>
      </c>
      <c r="J347" s="44">
        <v>1800</v>
      </c>
    </row>
    <row r="348" spans="2:10">
      <c r="B348" s="47">
        <v>347</v>
      </c>
      <c r="C348" s="46" t="s">
        <v>745</v>
      </c>
      <c r="D348" s="33" t="s">
        <v>746</v>
      </c>
      <c r="E348" s="46" t="s">
        <v>159</v>
      </c>
      <c r="F348" s="46">
        <v>10</v>
      </c>
      <c r="G348" s="42">
        <v>161.52000000000001</v>
      </c>
      <c r="H348" s="48">
        <v>0</v>
      </c>
      <c r="I348" s="43">
        <v>161.52000000000001</v>
      </c>
      <c r="J348" s="44">
        <v>1615.2</v>
      </c>
    </row>
    <row r="349" spans="2:10">
      <c r="B349" s="45">
        <v>348</v>
      </c>
      <c r="C349" s="46" t="s">
        <v>747</v>
      </c>
      <c r="D349" s="33" t="s">
        <v>748</v>
      </c>
      <c r="E349" s="46" t="s">
        <v>159</v>
      </c>
      <c r="F349" s="46">
        <v>30</v>
      </c>
      <c r="G349" s="42">
        <v>165</v>
      </c>
      <c r="H349" s="48">
        <v>0</v>
      </c>
      <c r="I349" s="43">
        <v>165</v>
      </c>
      <c r="J349" s="44">
        <v>4950</v>
      </c>
    </row>
    <row r="350" spans="2:10">
      <c r="B350" s="47">
        <v>349</v>
      </c>
      <c r="C350" s="46" t="s">
        <v>749</v>
      </c>
      <c r="D350" s="33" t="s">
        <v>750</v>
      </c>
      <c r="E350" s="46" t="s">
        <v>159</v>
      </c>
      <c r="F350" s="46">
        <v>10</v>
      </c>
      <c r="G350" s="42">
        <v>161.52000000000001</v>
      </c>
      <c r="H350" s="48">
        <v>0</v>
      </c>
      <c r="I350" s="43">
        <v>161.52000000000001</v>
      </c>
      <c r="J350" s="44">
        <v>1615.2</v>
      </c>
    </row>
    <row r="351" spans="2:10">
      <c r="B351" s="45">
        <v>350</v>
      </c>
      <c r="C351" s="46" t="s">
        <v>751</v>
      </c>
      <c r="D351" s="33" t="s">
        <v>752</v>
      </c>
      <c r="E351" s="46" t="s">
        <v>159</v>
      </c>
      <c r="F351" s="46">
        <v>10</v>
      </c>
      <c r="G351" s="42">
        <v>178</v>
      </c>
      <c r="H351" s="48">
        <v>0</v>
      </c>
      <c r="I351" s="43">
        <v>178</v>
      </c>
      <c r="J351" s="44">
        <v>1780</v>
      </c>
    </row>
    <row r="352" spans="2:10">
      <c r="B352" s="47">
        <v>351</v>
      </c>
      <c r="C352" s="46" t="s">
        <v>753</v>
      </c>
      <c r="D352" s="33" t="s">
        <v>754</v>
      </c>
      <c r="E352" s="46" t="s">
        <v>159</v>
      </c>
      <c r="F352" s="46">
        <v>10</v>
      </c>
      <c r="G352" s="42">
        <v>111.88</v>
      </c>
      <c r="H352" s="48">
        <v>0</v>
      </c>
      <c r="I352" s="43">
        <v>111.88</v>
      </c>
      <c r="J352" s="44">
        <v>1118.8</v>
      </c>
    </row>
    <row r="353" spans="2:10">
      <c r="B353" s="45">
        <v>352</v>
      </c>
      <c r="C353" s="46" t="s">
        <v>755</v>
      </c>
      <c r="D353" s="33" t="s">
        <v>756</v>
      </c>
      <c r="E353" s="46" t="s">
        <v>159</v>
      </c>
      <c r="F353" s="46">
        <v>30</v>
      </c>
      <c r="G353" s="42">
        <v>133.38999999999999</v>
      </c>
      <c r="H353" s="48">
        <v>0</v>
      </c>
      <c r="I353" s="43">
        <v>133.38999999999999</v>
      </c>
      <c r="J353" s="44">
        <v>4001.7</v>
      </c>
    </row>
    <row r="354" spans="2:10">
      <c r="B354" s="47">
        <v>353</v>
      </c>
      <c r="C354" s="46" t="s">
        <v>757</v>
      </c>
      <c r="D354" s="33" t="s">
        <v>758</v>
      </c>
      <c r="E354" s="46" t="s">
        <v>159</v>
      </c>
      <c r="F354" s="46">
        <v>10</v>
      </c>
      <c r="G354" s="42">
        <v>100</v>
      </c>
      <c r="H354" s="48">
        <v>0</v>
      </c>
      <c r="I354" s="43">
        <v>100</v>
      </c>
      <c r="J354" s="44">
        <v>1000</v>
      </c>
    </row>
    <row r="355" spans="2:10" ht="26.1">
      <c r="B355" s="45">
        <v>354</v>
      </c>
      <c r="C355" s="46" t="s">
        <v>759</v>
      </c>
      <c r="D355" s="33" t="s">
        <v>760</v>
      </c>
      <c r="E355" s="46" t="s">
        <v>61</v>
      </c>
      <c r="F355" s="46">
        <v>15</v>
      </c>
      <c r="G355" s="42">
        <v>13.81</v>
      </c>
      <c r="H355" s="48">
        <v>0</v>
      </c>
      <c r="I355" s="43">
        <v>13.81</v>
      </c>
      <c r="J355" s="44">
        <v>207.15</v>
      </c>
    </row>
    <row r="356" spans="2:10" ht="26.1">
      <c r="B356" s="47">
        <v>355</v>
      </c>
      <c r="C356" s="46" t="s">
        <v>761</v>
      </c>
      <c r="D356" s="33" t="s">
        <v>762</v>
      </c>
      <c r="E356" s="46" t="s">
        <v>61</v>
      </c>
      <c r="F356" s="46">
        <v>15</v>
      </c>
      <c r="G356" s="42">
        <v>14</v>
      </c>
      <c r="H356" s="48">
        <v>0</v>
      </c>
      <c r="I356" s="43">
        <v>14</v>
      </c>
      <c r="J356" s="44">
        <v>210</v>
      </c>
    </row>
    <row r="357" spans="2:10">
      <c r="B357" s="45">
        <v>356</v>
      </c>
      <c r="C357" s="46" t="s">
        <v>763</v>
      </c>
      <c r="D357" s="33" t="s">
        <v>764</v>
      </c>
      <c r="E357" s="46" t="s">
        <v>61</v>
      </c>
      <c r="F357" s="46">
        <v>15</v>
      </c>
      <c r="G357" s="42">
        <v>11.19</v>
      </c>
      <c r="H357" s="48">
        <v>0</v>
      </c>
      <c r="I357" s="43">
        <v>11.19</v>
      </c>
      <c r="J357" s="44">
        <v>167.85</v>
      </c>
    </row>
    <row r="358" spans="2:10">
      <c r="B358" s="47">
        <v>357</v>
      </c>
      <c r="C358" s="46" t="s">
        <v>765</v>
      </c>
      <c r="D358" s="33" t="s">
        <v>766</v>
      </c>
      <c r="E358" s="46" t="s">
        <v>61</v>
      </c>
      <c r="F358" s="46">
        <v>15</v>
      </c>
      <c r="G358" s="42">
        <v>14</v>
      </c>
      <c r="H358" s="48">
        <v>0</v>
      </c>
      <c r="I358" s="43">
        <v>14</v>
      </c>
      <c r="J358" s="44">
        <v>210</v>
      </c>
    </row>
    <row r="359" spans="2:10" ht="26.1">
      <c r="B359" s="45">
        <v>358</v>
      </c>
      <c r="C359" s="49" t="s">
        <v>767</v>
      </c>
      <c r="D359" s="50" t="s">
        <v>768</v>
      </c>
      <c r="E359" s="49" t="s">
        <v>61</v>
      </c>
      <c r="F359" s="46">
        <v>15</v>
      </c>
      <c r="G359" s="42">
        <v>11.99</v>
      </c>
      <c r="H359" s="48">
        <v>0</v>
      </c>
      <c r="I359" s="51">
        <v>11.99</v>
      </c>
      <c r="J359" s="44">
        <v>179.85</v>
      </c>
    </row>
    <row r="360" spans="2:10" ht="26.1">
      <c r="B360" s="39">
        <v>359</v>
      </c>
      <c r="C360" s="52" t="s">
        <v>769</v>
      </c>
      <c r="D360" s="53" t="s">
        <v>770</v>
      </c>
      <c r="E360" s="52" t="s">
        <v>61</v>
      </c>
      <c r="F360" s="46">
        <v>15</v>
      </c>
      <c r="G360" s="42">
        <v>20.99</v>
      </c>
      <c r="H360" s="48">
        <v>0</v>
      </c>
      <c r="I360" s="54">
        <v>20.99</v>
      </c>
      <c r="J360" s="55">
        <v>314.84999999999997</v>
      </c>
    </row>
    <row r="361" spans="2:10" ht="15" thickBot="1">
      <c r="B361" s="56">
        <v>360</v>
      </c>
      <c r="C361" s="57"/>
      <c r="D361" s="58" t="s">
        <v>771</v>
      </c>
      <c r="E361" s="57" t="s">
        <v>772</v>
      </c>
      <c r="F361" s="57">
        <v>1</v>
      </c>
      <c r="G361" s="59">
        <v>1.9</v>
      </c>
      <c r="H361" s="48">
        <v>0</v>
      </c>
      <c r="I361" s="60">
        <v>1.9</v>
      </c>
      <c r="J361" s="44">
        <v>1.9</v>
      </c>
    </row>
    <row r="362" spans="2:10" ht="15.95" customHeight="1" thickBot="1">
      <c r="B362" s="82" t="s">
        <v>773</v>
      </c>
      <c r="C362" s="83"/>
      <c r="D362" s="83"/>
      <c r="E362" s="83"/>
      <c r="F362" s="83"/>
      <c r="G362" s="83"/>
      <c r="H362" s="83"/>
      <c r="I362" s="84"/>
      <c r="J362" s="61">
        <v>588769.74000000046</v>
      </c>
    </row>
  </sheetData>
  <autoFilter ref="A1:H76" xr:uid="{00000000-0001-0000-0100-000000000000}"/>
  <mergeCells count="1">
    <mergeCell ref="B362:I36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23252D98845498900B993015AE4B0" ma:contentTypeVersion="11" ma:contentTypeDescription="Criar um novo documento." ma:contentTypeScope="" ma:versionID="f0f778392ef2d6c661085852da0b6289">
  <xsd:schema xmlns:xsd="http://www.w3.org/2001/XMLSchema" xmlns:xs="http://www.w3.org/2001/XMLSchema" xmlns:p="http://schemas.microsoft.com/office/2006/metadata/properties" xmlns:ns2="bbe5faa6-f591-4575-8f3a-dda9c18f4634" xmlns:ns3="33c39f08-0fa4-4eae-8f94-8c0b2945b2ef" targetNamespace="http://schemas.microsoft.com/office/2006/metadata/properties" ma:root="true" ma:fieldsID="5a033e44819ccadd530f2b27522c027f" ns2:_="" ns3:_="">
    <xsd:import namespace="bbe5faa6-f591-4575-8f3a-dda9c18f4634"/>
    <xsd:import namespace="33c39f08-0fa4-4eae-8f94-8c0b2945b2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5faa6-f591-4575-8f3a-dda9c18f4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39f08-0fa4-4eae-8f94-8c0b2945b2e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7351e2-fc56-408c-9804-dec245b83f25}" ma:internalName="TaxCatchAll" ma:showField="CatchAllData" ma:web="33c39f08-0fa4-4eae-8f94-8c0b2945b2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e5faa6-f591-4575-8f3a-dda9c18f4634">
      <Terms xmlns="http://schemas.microsoft.com/office/infopath/2007/PartnerControls"/>
    </lcf76f155ced4ddcb4097134ff3c332f>
    <TaxCatchAll xmlns="33c39f08-0fa4-4eae-8f94-8c0b2945b2ef" xsi:nil="true"/>
  </documentManagement>
</p:properties>
</file>

<file path=customXml/itemProps1.xml><?xml version="1.0" encoding="utf-8"?>
<ds:datastoreItem xmlns:ds="http://schemas.openxmlformats.org/officeDocument/2006/customXml" ds:itemID="{A5CE9468-8E6C-4DD6-AB64-F2BB88B796CD}"/>
</file>

<file path=customXml/itemProps2.xml><?xml version="1.0" encoding="utf-8"?>
<ds:datastoreItem xmlns:ds="http://schemas.openxmlformats.org/officeDocument/2006/customXml" ds:itemID="{EBBC2417-E1C5-404F-842E-D827ACD01E6C}"/>
</file>

<file path=customXml/itemProps3.xml><?xml version="1.0" encoding="utf-8"?>
<ds:datastoreItem xmlns:ds="http://schemas.openxmlformats.org/officeDocument/2006/customXml" ds:itemID="{D2646EDF-8D13-4D05-B9DE-ABFDD0A82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Shirley Nogueira Santos</dc:creator>
  <cp:keywords/>
  <dc:description/>
  <cp:lastModifiedBy/>
  <cp:revision/>
  <dcterms:created xsi:type="dcterms:W3CDTF">2018-08-09T18:53:08Z</dcterms:created>
  <dcterms:modified xsi:type="dcterms:W3CDTF">2026-09-29T14:15:35Z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0x010100BE723252D98845498900B993015AE4B0</vt:lpwstr>
  </property>
  <property fmtid="{D5CDD505-2E9C-101B-9397-08002B2CF9AE}" pid="3" name="MediaServiceImageTags">
    <vt:lpwstr/>
  </property>
</Properties>
</file>